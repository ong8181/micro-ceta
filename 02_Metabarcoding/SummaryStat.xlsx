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hio/Work/Result/AllResult/2023_CetaDNApro/00_uCeta_Github/02_Metabarcoding/"/>
    </mc:Choice>
  </mc:AlternateContent>
  <xr:revisionPtr revIDLastSave="0" documentId="13_ncr:1_{B58672BE-0003-964B-BD2C-EFA047D1204B}" xr6:coauthVersionLast="47" xr6:coauthVersionMax="47" xr10:uidLastSave="{00000000-0000-0000-0000-000000000000}"/>
  <bookViews>
    <workbookView xWindow="840" yWindow="760" windowWidth="29400" windowHeight="18880" xr2:uid="{71903D1A-DD86-5547-8C2D-34A979C7017D}"/>
  </bookViews>
  <sheets>
    <sheet name="Summary stat" sheetId="7" r:id="rId1"/>
    <sheet name="Cet1_Mu31F" sheetId="1" r:id="rId2"/>
    <sheet name="Cet2_Dc671F" sheetId="2" r:id="rId3"/>
    <sheet name="Cet3_Mu2084F" sheetId="3" r:id="rId4"/>
    <sheet name="Cet4_Mu9459F" sheetId="4" r:id="rId5"/>
    <sheet name="Cet5_MiMammal" sheetId="5" r:id="rId6"/>
    <sheet name="Cet6_Ceto2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B24" i="6"/>
  <c r="H39" i="6"/>
  <c r="H38" i="6"/>
  <c r="H37" i="6"/>
  <c r="H36" i="6"/>
  <c r="H35" i="6"/>
  <c r="H34" i="6"/>
  <c r="H33" i="6"/>
  <c r="H32" i="6"/>
  <c r="H31" i="6"/>
  <c r="H30" i="6"/>
  <c r="H29" i="6"/>
  <c r="A5" i="5"/>
  <c r="B24" i="5"/>
  <c r="H40" i="5"/>
  <c r="H39" i="5"/>
  <c r="H38" i="5"/>
  <c r="H37" i="5"/>
  <c r="H36" i="5"/>
  <c r="H35" i="5"/>
  <c r="H34" i="5"/>
  <c r="H33" i="5"/>
  <c r="H32" i="5"/>
  <c r="H31" i="5"/>
  <c r="H30" i="5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28" i="4" s="1"/>
  <c r="A5" i="4"/>
  <c r="H43" i="1"/>
  <c r="H42" i="1"/>
  <c r="H41" i="1"/>
  <c r="H40" i="1"/>
  <c r="H39" i="1"/>
  <c r="H38" i="1"/>
  <c r="H37" i="1"/>
  <c r="H36" i="1"/>
  <c r="H35" i="1"/>
  <c r="H34" i="1"/>
  <c r="B43" i="4"/>
  <c r="H41" i="4"/>
  <c r="H40" i="4"/>
  <c r="H39" i="4"/>
  <c r="H38" i="4"/>
  <c r="H37" i="4"/>
  <c r="H36" i="4"/>
  <c r="H35" i="4"/>
  <c r="H34" i="4"/>
  <c r="A5" i="1"/>
  <c r="A5" i="2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B50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28" i="2" s="1"/>
  <c r="G49" i="2"/>
  <c r="H49" i="2" s="1"/>
  <c r="F49" i="2"/>
  <c r="E49" i="2"/>
  <c r="D49" i="2"/>
  <c r="C49" i="2"/>
  <c r="B49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G41" i="6"/>
  <c r="H41" i="6" s="1"/>
  <c r="F41" i="6"/>
  <c r="E41" i="6"/>
  <c r="D41" i="6"/>
  <c r="C41" i="6"/>
  <c r="B41" i="6"/>
  <c r="G42" i="5"/>
  <c r="F42" i="5"/>
  <c r="E42" i="5"/>
  <c r="D42" i="5"/>
  <c r="C42" i="5"/>
  <c r="B42" i="5"/>
  <c r="G43" i="4"/>
  <c r="F43" i="4"/>
  <c r="E43" i="4"/>
  <c r="D43" i="4"/>
  <c r="C43" i="4"/>
  <c r="G50" i="3"/>
  <c r="F50" i="3"/>
  <c r="E50" i="3"/>
  <c r="D50" i="3"/>
  <c r="C50" i="3"/>
  <c r="G45" i="1"/>
  <c r="F45" i="1"/>
  <c r="E45" i="1"/>
  <c r="D45" i="1"/>
  <c r="C45" i="1"/>
  <c r="B45" i="1"/>
  <c r="H42" i="5" l="1"/>
  <c r="H43" i="4"/>
  <c r="I28" i="3"/>
  <c r="H45" i="1"/>
  <c r="H50" i="3"/>
  <c r="I28" i="1"/>
</calcChain>
</file>

<file path=xl/sharedStrings.xml><?xml version="1.0" encoding="utf-8"?>
<sst xmlns="http://schemas.openxmlformats.org/spreadsheetml/2006/main" count="387" uniqueCount="135">
  <si>
    <t>Sequence reads</t>
  </si>
  <si>
    <t>Run 1</t>
  </si>
  <si>
    <t>file</t>
  </si>
  <si>
    <t>num_seqs</t>
  </si>
  <si>
    <t>Q30(%)</t>
  </si>
  <si>
    <t>Run 2</t>
  </si>
  <si>
    <t>Run 3</t>
  </si>
  <si>
    <t>Total</t>
  </si>
  <si>
    <t>input</t>
  </si>
  <si>
    <t>filtered</t>
  </si>
  <si>
    <t>denoised</t>
  </si>
  <si>
    <t>merged</t>
  </si>
  <si>
    <t>tabled</t>
  </si>
  <si>
    <t>nonchim</t>
  </si>
  <si>
    <t>prop.last.first.</t>
  </si>
  <si>
    <t>DADA2 tracking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</si>
  <si>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</si>
  <si>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</si>
  <si>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</si>
  <si>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</si>
  <si>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</si>
  <si>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</si>
  <si>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</si>
  <si>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</si>
  <si>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</si>
  <si>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</si>
  <si>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</si>
  <si>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</si>
  <si>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</si>
  <si>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</si>
  <si>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</si>
  <si>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</si>
  <si>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NA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</si>
  <si>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</si>
  <si>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</si>
  <si>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</si>
  <si>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</si>
  <si>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</si>
  <si>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</si>
  <si>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</si>
  <si>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</si>
  <si>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</si>
  <si>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</si>
  <si>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</si>
  <si>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</si>
  <si>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S030</t>
  </si>
  <si>
    <t>S031</t>
  </si>
  <si>
    <t>S029</t>
  </si>
  <si>
    <t>S032</t>
  </si>
  <si>
    <t>Sequence summary of empirical validation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</si>
  <si>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</si>
  <si>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</si>
  <si>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</si>
  <si>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</si>
  <si>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</si>
  <si>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</si>
  <si>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</si>
  <si>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</si>
  <si>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</si>
  <si>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</si>
  <si>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</si>
  <si>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</si>
  <si>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</si>
  <si>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</si>
  <si>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</si>
  <si>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</si>
  <si>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Total reads</t>
  </si>
  <si>
    <t>Total sequence reads before processing</t>
  </si>
  <si>
    <t>Total sequence reads before processing (Run 1 + 2 + 3)</t>
  </si>
  <si>
    <t>reads</t>
  </si>
  <si>
    <t>Sequence reads after initial quality filtering and primer trimming</t>
  </si>
  <si>
    <t>Sequence reads after DADA2 processing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</si>
  <si>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</si>
  <si>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</si>
  <si>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</si>
  <si>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</si>
  <si>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</si>
  <si>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</si>
  <si>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</si>
  <si>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</si>
  <si>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</si>
  <si>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</si>
  <si>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</si>
  <si>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</si>
  <si>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</si>
  <si>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</si>
  <si>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</si>
  <si>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</si>
  <si>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</si>
  <si>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</si>
  <si>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</si>
  <si>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</si>
  <si>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</si>
  <si>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</si>
  <si>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</si>
  <si>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</si>
  <si>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</si>
  <si>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</si>
  <si>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R012</t>
  </si>
  <si>
    <t>R011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</si>
  <si>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</si>
  <si>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</si>
  <si>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</si>
  <si>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</si>
  <si>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</si>
  <si>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</si>
  <si>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</si>
  <si>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</si>
  <si>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</si>
  <si>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</si>
  <si>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R024</t>
  </si>
  <si>
    <t>R023</t>
  </si>
  <si>
    <t>Platform</t>
  </si>
  <si>
    <t>NovaSeq</t>
  </si>
  <si>
    <t>Sequencing 1</t>
  </si>
  <si>
    <t>Primers</t>
  </si>
  <si>
    <t>Samples</t>
  </si>
  <si>
    <t>Sequencing 2</t>
  </si>
  <si>
    <t>iSeq</t>
  </si>
  <si>
    <t>Sequencing 3</t>
  </si>
  <si>
    <t>MiMammal</t>
  </si>
  <si>
    <t>Ceto2</t>
  </si>
  <si>
    <t>Seq mode</t>
  </si>
  <si>
    <t>250 PE</t>
  </si>
  <si>
    <t>150PE</t>
  </si>
  <si>
    <t>250PE</t>
  </si>
  <si>
    <t>Natural "positive" samples</t>
  </si>
  <si>
    <t>Overall Q30</t>
  </si>
  <si>
    <t>After DADA2 processing</t>
  </si>
  <si>
    <t>%</t>
  </si>
  <si>
    <t>Dc671F/Dc1015R</t>
  </si>
  <si>
    <t>Mu2084F/Dc2438R</t>
  </si>
  <si>
    <t>Mu9459F/Mu9822R</t>
  </si>
  <si>
    <t>Pool + preliminary HK water samples</t>
  </si>
  <si>
    <t>Mu31F/Dc320R (µCeta)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</si>
</sst>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2" borderId="2" xfId="0" applyFont="1" applyFill="1" applyBorder="1"/>
    <xf numFmtId="0" fontId="0" fillId="2" borderId="2" xfId="0" applyFill="1" applyBorder="1"/>
    <xf numFmtId="0" fontId="1" fillId="0" borderId="1" xfId="0" applyFont="1" applyBorder="1"/>
    <xf numFmtId="3" fontId="1" fillId="0" borderId="1" xfId="0" applyNumberFormat="1" applyFont="1" applyBorder="1"/>
    <xf numFmtId="2" fontId="0" fillId="0" borderId="0" xfId="0" applyNumberFormat="1"/>
    <xf numFmtId="2" fontId="1" fillId="0" borderId="1" xfId="0" applyNumberFormat="1" applyFont="1" applyBorder="1"/>
    <xf numFmtId="0" fontId="3" fillId="0" borderId="0" xfId="0" applyFont="1"/>
    <xf numFmtId="3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1" fillId="0" borderId="3" xfId="0" applyFont="1" applyBorder="1"/>
    <xf numFmtId="0" fontId="0" fillId="0" borderId="3" xfId="0" applyBorder="1"/>
    <xf numFmtId="3" fontId="0" fillId="0" borderId="1" xfId="0" applyNumberFormat="1" applyBorder="1"/>
    <xf numFmtId="0" fontId="0" fillId="0" borderId="1" xfId="0" applyBorder="1"/>
    <xf numFmtId="3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2" xfId="0" applyFont="1" applyFill="1" applyBorder="1"/>
    <xf numFmtId="0" fontId="4" fillId="0" borderId="1" xfId="0" applyFont="1" applyBorder="1" applyAlignment="1">
      <alignment horizontal="left"/>
    </xf>
    <xf numFmtId="10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DCCC-B9B0-274C-9724-59E1AF9C1149}">
  <dimension ref="A1:D15"/>
  <sheetViews>
    <sheetView tabSelected="1" zoomScale="180" zoomScaleNormal="180" workbookViewId="0">
      <selection activeCell="B11" sqref="B11"/>
    </sheetView>
  </sheetViews>
  <sheetFormatPr baseColWidth="10" defaultRowHeight="16" x14ac:dyDescent="0.2"/>
  <cols>
    <col min="1" max="1" width="31" style="19" customWidth="1"/>
    <col min="2" max="4" width="29.83203125" style="19" customWidth="1"/>
    <col min="5" max="16384" width="10.83203125" style="19"/>
  </cols>
  <sheetData>
    <row r="1" spans="1:4" x14ac:dyDescent="0.2">
      <c r="A1" s="23"/>
      <c r="B1" s="23" t="s">
        <v>114</v>
      </c>
      <c r="C1" s="24" t="s">
        <v>117</v>
      </c>
      <c r="D1" s="24" t="s">
        <v>119</v>
      </c>
    </row>
    <row r="2" spans="1:4" x14ac:dyDescent="0.2">
      <c r="A2" s="22" t="s">
        <v>112</v>
      </c>
      <c r="B2" s="20" t="s">
        <v>113</v>
      </c>
      <c r="C2" s="20" t="s">
        <v>118</v>
      </c>
      <c r="D2" s="20" t="s">
        <v>113</v>
      </c>
    </row>
    <row r="3" spans="1:4" x14ac:dyDescent="0.2">
      <c r="A3" s="22" t="s">
        <v>122</v>
      </c>
      <c r="B3" s="20" t="s">
        <v>123</v>
      </c>
      <c r="C3" s="20" t="s">
        <v>124</v>
      </c>
      <c r="D3" s="20" t="s">
        <v>125</v>
      </c>
    </row>
    <row r="4" spans="1:4" x14ac:dyDescent="0.2">
      <c r="A4" s="22" t="s">
        <v>66</v>
      </c>
      <c r="B4" s="21">
        <v>3332370</v>
      </c>
      <c r="C4" s="21">
        <v>2406398</v>
      </c>
      <c r="D4" s="21">
        <v>3539281</v>
      </c>
    </row>
    <row r="5" spans="1:4" x14ac:dyDescent="0.2">
      <c r="A5" s="22" t="s">
        <v>127</v>
      </c>
      <c r="B5" s="26">
        <v>0.92079999999999995</v>
      </c>
      <c r="C5" s="26">
        <v>0.95799999999999996</v>
      </c>
      <c r="D5" s="26">
        <v>0.92479999999999996</v>
      </c>
    </row>
    <row r="6" spans="1:4" x14ac:dyDescent="0.2">
      <c r="A6" s="22"/>
      <c r="B6" s="21"/>
      <c r="C6" s="21"/>
      <c r="D6" s="21"/>
    </row>
    <row r="7" spans="1:4" x14ac:dyDescent="0.2">
      <c r="A7" s="22" t="s">
        <v>128</v>
      </c>
      <c r="B7" s="21">
        <v>2572852</v>
      </c>
      <c r="C7" s="21">
        <v>2212982</v>
      </c>
      <c r="D7" s="21">
        <v>3246690</v>
      </c>
    </row>
    <row r="8" spans="1:4" x14ac:dyDescent="0.2">
      <c r="A8" s="22" t="s">
        <v>129</v>
      </c>
      <c r="B8" s="26">
        <v>0.77207873075318767</v>
      </c>
      <c r="C8" s="26">
        <v>0.91962426830474431</v>
      </c>
      <c r="D8" s="26">
        <v>0.917330384</v>
      </c>
    </row>
    <row r="9" spans="1:4" x14ac:dyDescent="0.2">
      <c r="A9" s="22"/>
      <c r="B9" s="21"/>
      <c r="C9" s="21"/>
      <c r="D9" s="21"/>
    </row>
    <row r="10" spans="1:4" ht="34" x14ac:dyDescent="0.2">
      <c r="A10" s="28" t="s">
        <v>116</v>
      </c>
      <c r="B10" s="29" t="s">
        <v>133</v>
      </c>
      <c r="C10" s="29" t="s">
        <v>133</v>
      </c>
      <c r="D10" s="30" t="s">
        <v>126</v>
      </c>
    </row>
    <row r="11" spans="1:4" x14ac:dyDescent="0.2">
      <c r="A11" s="22"/>
      <c r="B11" s="20"/>
      <c r="C11" s="20"/>
      <c r="D11" s="20"/>
    </row>
    <row r="12" spans="1:4" x14ac:dyDescent="0.2">
      <c r="A12" s="22" t="s">
        <v>115</v>
      </c>
      <c r="B12" s="20" t="s">
        <v>134</v>
      </c>
      <c r="C12" s="20" t="s">
        <v>120</v>
      </c>
      <c r="D12" s="20" t="s">
        <v>134</v>
      </c>
    </row>
    <row r="13" spans="1:4" x14ac:dyDescent="0.2">
      <c r="A13" s="22"/>
      <c r="B13" s="20" t="s">
        <v>130</v>
      </c>
      <c r="C13" s="20" t="s">
        <v>121</v>
      </c>
      <c r="D13" s="20"/>
    </row>
    <row r="14" spans="1:4" x14ac:dyDescent="0.2">
      <c r="A14" s="22"/>
      <c r="B14" s="20" t="s">
        <v>131</v>
      </c>
      <c r="C14" s="20"/>
      <c r="D14" s="20"/>
    </row>
    <row r="15" spans="1:4" x14ac:dyDescent="0.2">
      <c r="A15" s="25"/>
      <c r="B15" s="27" t="s">
        <v>132</v>
      </c>
      <c r="C15" s="27"/>
      <c r="D15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67FF-11FF-B649-AC7B-399A5671B08A}">
  <dimension ref="A1:O45"/>
  <sheetViews>
    <sheetView zoomScale="190" zoomScaleNormal="190" workbookViewId="0">
      <selection activeCell="J41" sqref="J41"/>
    </sheetView>
  </sheetViews>
  <sheetFormatPr baseColWidth="10" defaultRowHeight="16" x14ac:dyDescent="0.2"/>
  <cols>
    <col min="1" max="1" width="19.83203125" customWidth="1"/>
  </cols>
  <sheetData>
    <row r="1" spans="1:15" x14ac:dyDescent="0.2">
      <c r="A1" s="2" t="s">
        <v>49</v>
      </c>
    </row>
    <row r="2" spans="1:15" x14ac:dyDescent="0.2">
      <c r="A2" s="2"/>
    </row>
    <row r="3" spans="1:15" x14ac:dyDescent="0.2">
      <c r="A3" s="3" t="s">
        <v>68</v>
      </c>
      <c r="B3" s="4"/>
      <c r="C3" s="4"/>
      <c r="D3" s="4"/>
    </row>
    <row r="4" spans="1:15" x14ac:dyDescent="0.2">
      <c r="A4" s="14" t="s">
        <v>69</v>
      </c>
      <c r="B4" s="14" t="s">
        <v>4</v>
      </c>
      <c r="C4" s="15"/>
      <c r="D4" s="15"/>
    </row>
    <row r="5" spans="1:15" x14ac:dyDescent="0.2">
      <c r="A5" s="16">
        <f>1805816/2</f>
        <v>902908</v>
      </c>
      <c r="B5" s="17">
        <v>93.2</v>
      </c>
      <c r="C5" s="17"/>
      <c r="D5" s="17"/>
    </row>
    <row r="6" spans="1:15" x14ac:dyDescent="0.2">
      <c r="A6" s="2"/>
    </row>
    <row r="7" spans="1:15" x14ac:dyDescent="0.2">
      <c r="A7" s="2"/>
    </row>
    <row r="8" spans="1:15" x14ac:dyDescent="0.2">
      <c r="A8" t="s">
        <v>70</v>
      </c>
    </row>
    <row r="9" spans="1:15" x14ac:dyDescent="0.2">
      <c r="A9" s="3" t="s">
        <v>0</v>
      </c>
      <c r="B9" s="3" t="s">
        <v>1</v>
      </c>
      <c r="C9" s="3"/>
      <c r="D9" s="3" t="s">
        <v>5</v>
      </c>
      <c r="E9" s="3"/>
      <c r="F9" s="3" t="s">
        <v>6</v>
      </c>
      <c r="G9" s="3"/>
      <c r="H9" s="3"/>
      <c r="I9" s="3" t="s">
        <v>7</v>
      </c>
    </row>
    <row r="10" spans="1:15" x14ac:dyDescent="0.2">
      <c r="A10" s="2" t="s">
        <v>2</v>
      </c>
      <c r="B10" s="2" t="s">
        <v>3</v>
      </c>
      <c r="C10" s="2" t="s">
        <v>4</v>
      </c>
      <c r="D10" s="2" t="s">
        <v>3</v>
      </c>
      <c r="E10" s="2" t="s">
        <v>4</v>
      </c>
      <c r="F10" s="2" t="s">
        <v>3</v>
      </c>
      <c r="G10" s="2" t="s">
        <v>4</v>
      </c>
      <c r="N10" s="1"/>
      <c r="O10" s="1"/>
    </row>
    <row r="11" spans="1:15" x14ac:dyDescent="0.2">
      <c r="A11" t="s">
        <v>16</v>
      </c>
      <c r="B11" s="12">
        <v>48278</v>
      </c>
      <c r="C11" s="11">
        <v>93.94</v>
      </c>
      <c r="D11" s="12">
        <v>60723</v>
      </c>
      <c r="E11" s="11">
        <v>93.38</v>
      </c>
      <c r="F11" s="12">
        <v>24841</v>
      </c>
      <c r="G11" s="11">
        <v>93.39</v>
      </c>
      <c r="I11" s="1">
        <f>SUM(B11,D11,F11)</f>
        <v>133842</v>
      </c>
      <c r="N11" s="1"/>
      <c r="O11" s="1"/>
    </row>
    <row r="12" spans="1:15" x14ac:dyDescent="0.2">
      <c r="A12" t="s">
        <v>17</v>
      </c>
      <c r="B12" s="12">
        <v>49592</v>
      </c>
      <c r="C12" s="11">
        <v>93.28</v>
      </c>
      <c r="D12" s="12">
        <v>66459</v>
      </c>
      <c r="E12" s="11">
        <v>92.74</v>
      </c>
      <c r="F12" s="12">
        <v>26473</v>
      </c>
      <c r="G12" s="11">
        <v>93.08</v>
      </c>
      <c r="I12" s="1">
        <f t="shared" ref="I12:I26" si="0">SUM(B12,D12,F12)</f>
        <v>142524</v>
      </c>
      <c r="N12" s="1"/>
      <c r="O12" s="1"/>
    </row>
    <row r="13" spans="1:15" x14ac:dyDescent="0.2">
      <c r="A13" t="s">
        <v>18</v>
      </c>
      <c r="B13" s="12">
        <v>40745</v>
      </c>
      <c r="C13" s="11">
        <v>93.62</v>
      </c>
      <c r="D13" s="12">
        <v>53694</v>
      </c>
      <c r="E13" s="11">
        <v>92.96</v>
      </c>
      <c r="F13" s="12">
        <v>21233</v>
      </c>
      <c r="G13" s="11">
        <v>93.14</v>
      </c>
      <c r="I13" s="1">
        <f t="shared" si="0"/>
        <v>115672</v>
      </c>
      <c r="N13" s="1"/>
      <c r="O13" s="1"/>
    </row>
    <row r="14" spans="1:15" x14ac:dyDescent="0.2">
      <c r="A14" t="s">
        <v>19</v>
      </c>
      <c r="B14" s="12">
        <v>43840</v>
      </c>
      <c r="C14" s="11">
        <v>94.29</v>
      </c>
      <c r="D14" s="12">
        <v>55019</v>
      </c>
      <c r="E14" s="11">
        <v>93.49</v>
      </c>
      <c r="F14" s="12">
        <v>23288</v>
      </c>
      <c r="G14" s="11">
        <v>93.49</v>
      </c>
      <c r="I14" s="1">
        <f t="shared" si="0"/>
        <v>122147</v>
      </c>
      <c r="N14" s="1"/>
      <c r="O14" s="1"/>
    </row>
    <row r="15" spans="1:15" x14ac:dyDescent="0.2">
      <c r="A15" t="s">
        <v>20</v>
      </c>
      <c r="B15" s="12">
        <v>46221</v>
      </c>
      <c r="C15" s="11">
        <v>94.01</v>
      </c>
      <c r="D15" s="12">
        <v>49093</v>
      </c>
      <c r="E15" s="11">
        <v>93.24</v>
      </c>
      <c r="F15" s="12">
        <v>21381</v>
      </c>
      <c r="G15" s="11">
        <v>93.44</v>
      </c>
      <c r="I15" s="1">
        <f t="shared" si="0"/>
        <v>116695</v>
      </c>
      <c r="N15" s="1"/>
      <c r="O15" s="1"/>
    </row>
    <row r="16" spans="1:15" x14ac:dyDescent="0.2">
      <c r="A16" t="s">
        <v>21</v>
      </c>
      <c r="B16" s="12">
        <v>47688</v>
      </c>
      <c r="C16" s="11">
        <v>93.5</v>
      </c>
      <c r="D16" s="12">
        <v>63605</v>
      </c>
      <c r="E16" s="11">
        <v>92.95</v>
      </c>
      <c r="F16" s="12">
        <v>25000</v>
      </c>
      <c r="G16" s="11">
        <v>93.28</v>
      </c>
      <c r="I16" s="1">
        <f t="shared" si="0"/>
        <v>136293</v>
      </c>
      <c r="N16" s="1"/>
      <c r="O16" s="1"/>
    </row>
    <row r="17" spans="1:15" x14ac:dyDescent="0.2">
      <c r="A17" t="s">
        <v>22</v>
      </c>
      <c r="B17" s="12">
        <v>47071</v>
      </c>
      <c r="C17" s="11">
        <v>93.55</v>
      </c>
      <c r="D17" s="12">
        <v>62370</v>
      </c>
      <c r="E17" s="11">
        <v>92.83</v>
      </c>
      <c r="F17" s="12">
        <v>24732</v>
      </c>
      <c r="G17" s="11">
        <v>92.94</v>
      </c>
      <c r="I17" s="1">
        <f t="shared" si="0"/>
        <v>134173</v>
      </c>
      <c r="N17" s="1"/>
      <c r="O17" s="1"/>
    </row>
    <row r="18" spans="1:15" x14ac:dyDescent="0.2">
      <c r="A18" t="s">
        <v>23</v>
      </c>
      <c r="B18" s="11">
        <v>252</v>
      </c>
      <c r="C18" s="11">
        <v>93.72</v>
      </c>
      <c r="D18" s="12">
        <v>328</v>
      </c>
      <c r="E18" s="11">
        <v>93.5</v>
      </c>
      <c r="F18" s="12">
        <v>132</v>
      </c>
      <c r="G18" s="11">
        <v>94.26</v>
      </c>
      <c r="I18" s="1">
        <f t="shared" si="0"/>
        <v>712</v>
      </c>
      <c r="O18" s="1"/>
    </row>
    <row r="19" spans="1:15" x14ac:dyDescent="0.2">
      <c r="A19" t="s">
        <v>24</v>
      </c>
      <c r="B19" s="11">
        <v>1</v>
      </c>
      <c r="C19" s="11">
        <v>98.4</v>
      </c>
      <c r="D19" s="12">
        <v>0</v>
      </c>
      <c r="E19" s="13" t="s">
        <v>32</v>
      </c>
      <c r="F19" s="12">
        <v>0</v>
      </c>
      <c r="G19" s="13" t="s">
        <v>32</v>
      </c>
      <c r="I19" s="1">
        <f t="shared" si="0"/>
        <v>1</v>
      </c>
      <c r="O19" s="1"/>
    </row>
    <row r="20" spans="1:15" x14ac:dyDescent="0.2">
      <c r="A20" t="s">
        <v>25</v>
      </c>
      <c r="B20" s="11">
        <v>2</v>
      </c>
      <c r="C20" s="11">
        <v>98.4</v>
      </c>
      <c r="D20" s="12">
        <v>0</v>
      </c>
      <c r="E20" s="13" t="s">
        <v>32</v>
      </c>
      <c r="F20" s="11">
        <v>1</v>
      </c>
      <c r="G20" s="11">
        <v>32</v>
      </c>
      <c r="I20" s="1">
        <f t="shared" si="0"/>
        <v>3</v>
      </c>
      <c r="O20" s="1"/>
    </row>
    <row r="21" spans="1:15" x14ac:dyDescent="0.2">
      <c r="A21" t="s">
        <v>26</v>
      </c>
      <c r="B21" s="11">
        <v>1</v>
      </c>
      <c r="C21" s="11">
        <v>98.8</v>
      </c>
      <c r="D21" s="12">
        <v>0</v>
      </c>
      <c r="E21" s="13" t="s">
        <v>32</v>
      </c>
      <c r="F21" s="12">
        <v>0</v>
      </c>
      <c r="G21" s="13" t="s">
        <v>32</v>
      </c>
      <c r="I21" s="1">
        <f t="shared" si="0"/>
        <v>1</v>
      </c>
      <c r="O21" s="1"/>
    </row>
    <row r="22" spans="1:15" x14ac:dyDescent="0.2">
      <c r="A22" t="s">
        <v>27</v>
      </c>
      <c r="B22" s="11">
        <v>2</v>
      </c>
      <c r="C22" s="11">
        <v>70.599999999999994</v>
      </c>
      <c r="D22" s="12">
        <v>0</v>
      </c>
      <c r="E22" s="13" t="s">
        <v>32</v>
      </c>
      <c r="F22" s="11">
        <v>2</v>
      </c>
      <c r="G22" s="11">
        <v>83.6</v>
      </c>
      <c r="I22" s="1">
        <f t="shared" si="0"/>
        <v>4</v>
      </c>
    </row>
    <row r="23" spans="1:15" x14ac:dyDescent="0.2">
      <c r="A23" t="s">
        <v>28</v>
      </c>
      <c r="B23" s="11">
        <v>2</v>
      </c>
      <c r="C23" s="11">
        <v>96.6</v>
      </c>
      <c r="D23" s="12">
        <v>0</v>
      </c>
      <c r="E23" s="13" t="s">
        <v>32</v>
      </c>
      <c r="F23" s="12">
        <v>0</v>
      </c>
      <c r="G23" s="13" t="s">
        <v>32</v>
      </c>
      <c r="I23" s="1">
        <f t="shared" si="0"/>
        <v>2</v>
      </c>
    </row>
    <row r="24" spans="1:15" x14ac:dyDescent="0.2">
      <c r="A24" t="s">
        <v>29</v>
      </c>
      <c r="B24" s="11">
        <v>296</v>
      </c>
      <c r="C24" s="11">
        <v>92.87</v>
      </c>
      <c r="D24" s="11">
        <v>378</v>
      </c>
      <c r="E24" s="11">
        <v>93.12</v>
      </c>
      <c r="F24" s="11">
        <v>148</v>
      </c>
      <c r="G24" s="11">
        <v>93.25</v>
      </c>
      <c r="I24" s="1">
        <f t="shared" si="0"/>
        <v>822</v>
      </c>
      <c r="O24" s="1"/>
    </row>
    <row r="25" spans="1:15" x14ac:dyDescent="0.2">
      <c r="A25" t="s">
        <v>30</v>
      </c>
      <c r="B25" s="11">
        <v>0</v>
      </c>
      <c r="C25" s="11" t="s">
        <v>32</v>
      </c>
      <c r="D25" s="11">
        <v>0</v>
      </c>
      <c r="E25" s="13" t="s">
        <v>32</v>
      </c>
      <c r="F25" s="11">
        <v>7</v>
      </c>
      <c r="G25" s="11">
        <v>62.57</v>
      </c>
      <c r="I25" s="1">
        <f t="shared" si="0"/>
        <v>7</v>
      </c>
      <c r="O25" s="1"/>
    </row>
    <row r="26" spans="1:15" x14ac:dyDescent="0.2">
      <c r="A26" t="s">
        <v>31</v>
      </c>
      <c r="B26" s="11">
        <v>4</v>
      </c>
      <c r="C26" s="11">
        <v>85.4</v>
      </c>
      <c r="D26" s="11">
        <v>5</v>
      </c>
      <c r="E26" s="11">
        <v>93.04</v>
      </c>
      <c r="F26" s="11">
        <v>1</v>
      </c>
      <c r="G26" s="11">
        <v>91.2</v>
      </c>
      <c r="I26" s="1">
        <f t="shared" si="0"/>
        <v>10</v>
      </c>
    </row>
    <row r="28" spans="1:15" x14ac:dyDescent="0.2">
      <c r="A28" s="5" t="s">
        <v>7</v>
      </c>
      <c r="B28" s="5"/>
      <c r="C28" s="5"/>
      <c r="D28" s="5"/>
      <c r="E28" s="5"/>
      <c r="F28" s="5"/>
      <c r="G28" s="5"/>
      <c r="H28" s="5"/>
      <c r="I28" s="6">
        <f>SUM(I11:I18)</f>
        <v>902058</v>
      </c>
    </row>
    <row r="29" spans="1:15" x14ac:dyDescent="0.2">
      <c r="I29" s="1"/>
    </row>
    <row r="30" spans="1:15" x14ac:dyDescent="0.2">
      <c r="I30" s="1"/>
    </row>
    <row r="31" spans="1:15" x14ac:dyDescent="0.2">
      <c r="A31" t="s">
        <v>71</v>
      </c>
      <c r="I31" s="1"/>
    </row>
    <row r="32" spans="1:15" x14ac:dyDescent="0.2">
      <c r="A32" s="3" t="s">
        <v>15</v>
      </c>
      <c r="B32" s="4"/>
      <c r="C32" s="4"/>
      <c r="D32" s="4"/>
      <c r="E32" s="4"/>
      <c r="F32" s="4"/>
      <c r="G32" s="4"/>
      <c r="H32" s="4"/>
    </row>
    <row r="33" spans="1:8" x14ac:dyDescent="0.2">
      <c r="B33" s="2" t="s">
        <v>8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  <c r="H33" s="2" t="s">
        <v>14</v>
      </c>
    </row>
    <row r="34" spans="1:8" x14ac:dyDescent="0.2">
      <c r="A34" t="s">
        <v>16</v>
      </c>
      <c r="B34" s="1">
        <v>133061</v>
      </c>
      <c r="C34" s="1">
        <v>124759</v>
      </c>
      <c r="D34" s="1">
        <v>124563</v>
      </c>
      <c r="E34" s="1">
        <v>122664</v>
      </c>
      <c r="F34" s="1">
        <v>122664</v>
      </c>
      <c r="G34" s="1">
        <v>63137</v>
      </c>
      <c r="H34" s="7">
        <f t="shared" ref="H34:H43" si="1">G34/B34</f>
        <v>0.47449665942687941</v>
      </c>
    </row>
    <row r="35" spans="1:8" x14ac:dyDescent="0.2">
      <c r="A35" t="s">
        <v>17</v>
      </c>
      <c r="B35" s="1">
        <v>141698</v>
      </c>
      <c r="C35" s="1">
        <v>131863</v>
      </c>
      <c r="D35" s="1">
        <v>131746</v>
      </c>
      <c r="E35" s="1">
        <v>130839</v>
      </c>
      <c r="F35" s="1">
        <v>130839</v>
      </c>
      <c r="G35" s="1">
        <v>122321</v>
      </c>
      <c r="H35" s="7">
        <f t="shared" si="1"/>
        <v>0.86325142203841976</v>
      </c>
    </row>
    <row r="36" spans="1:8" x14ac:dyDescent="0.2">
      <c r="A36" t="s">
        <v>18</v>
      </c>
      <c r="B36" s="1">
        <v>114872</v>
      </c>
      <c r="C36" s="1">
        <v>107192</v>
      </c>
      <c r="D36" s="1">
        <v>107113</v>
      </c>
      <c r="E36" s="1">
        <v>106255</v>
      </c>
      <c r="F36" s="1">
        <v>106255</v>
      </c>
      <c r="G36" s="1">
        <v>63521</v>
      </c>
      <c r="H36" s="7">
        <f t="shared" si="1"/>
        <v>0.55297200362142207</v>
      </c>
    </row>
    <row r="37" spans="1:8" x14ac:dyDescent="0.2">
      <c r="A37" t="s">
        <v>19</v>
      </c>
      <c r="B37" s="1">
        <v>121444</v>
      </c>
      <c r="C37" s="1">
        <v>114090</v>
      </c>
      <c r="D37" s="1">
        <v>113989</v>
      </c>
      <c r="E37" s="1">
        <v>112749</v>
      </c>
      <c r="F37" s="1">
        <v>112749</v>
      </c>
      <c r="G37" s="1">
        <v>76725</v>
      </c>
      <c r="H37" s="7">
        <f t="shared" si="1"/>
        <v>0.63177266888442407</v>
      </c>
    </row>
    <row r="38" spans="1:8" x14ac:dyDescent="0.2">
      <c r="A38" t="s">
        <v>20</v>
      </c>
      <c r="B38" s="1">
        <v>115945</v>
      </c>
      <c r="C38" s="1">
        <v>108286</v>
      </c>
      <c r="D38" s="1">
        <v>108140</v>
      </c>
      <c r="E38" s="1">
        <v>106782</v>
      </c>
      <c r="F38" s="1">
        <v>106782</v>
      </c>
      <c r="G38" s="1">
        <v>83059</v>
      </c>
      <c r="H38" s="7">
        <f t="shared" si="1"/>
        <v>0.71636551813359783</v>
      </c>
    </row>
    <row r="39" spans="1:8" x14ac:dyDescent="0.2">
      <c r="A39" t="s">
        <v>21</v>
      </c>
      <c r="B39" s="1">
        <v>135499</v>
      </c>
      <c r="C39" s="1">
        <v>126701</v>
      </c>
      <c r="D39" s="1">
        <v>126462</v>
      </c>
      <c r="E39" s="1">
        <v>124402</v>
      </c>
      <c r="F39" s="1">
        <v>124402</v>
      </c>
      <c r="G39" s="1">
        <v>98223</v>
      </c>
      <c r="H39" s="7">
        <f t="shared" si="1"/>
        <v>0.72489833873312715</v>
      </c>
    </row>
    <row r="40" spans="1:8" x14ac:dyDescent="0.2">
      <c r="A40" t="s">
        <v>22</v>
      </c>
      <c r="B40" s="1">
        <v>133376</v>
      </c>
      <c r="C40" s="1">
        <v>124173</v>
      </c>
      <c r="D40" s="1">
        <v>124016</v>
      </c>
      <c r="E40" s="1">
        <v>123021</v>
      </c>
      <c r="F40" s="1">
        <v>123021</v>
      </c>
      <c r="G40" s="1">
        <v>120475</v>
      </c>
      <c r="H40" s="7">
        <f t="shared" si="1"/>
        <v>0.90327345249520152</v>
      </c>
    </row>
    <row r="41" spans="1:8" x14ac:dyDescent="0.2">
      <c r="A41" t="s">
        <v>23</v>
      </c>
      <c r="B41" s="1">
        <v>708</v>
      </c>
      <c r="C41" s="1">
        <v>670</v>
      </c>
      <c r="D41" s="1">
        <v>670</v>
      </c>
      <c r="E41" s="1">
        <v>666</v>
      </c>
      <c r="F41" s="1">
        <v>666</v>
      </c>
      <c r="G41" s="1">
        <v>617</v>
      </c>
      <c r="H41" s="7">
        <f t="shared" si="1"/>
        <v>0.87146892655367236</v>
      </c>
    </row>
    <row r="42" spans="1:8" x14ac:dyDescent="0.2">
      <c r="A42" t="s">
        <v>28</v>
      </c>
      <c r="B42" s="1">
        <v>2</v>
      </c>
      <c r="C42" s="1">
        <v>2</v>
      </c>
      <c r="D42" s="1">
        <v>2</v>
      </c>
      <c r="E42" s="1">
        <v>2</v>
      </c>
      <c r="F42" s="1">
        <v>2</v>
      </c>
      <c r="G42" s="1">
        <v>2</v>
      </c>
      <c r="H42" s="7">
        <f t="shared" si="1"/>
        <v>1</v>
      </c>
    </row>
    <row r="43" spans="1:8" x14ac:dyDescent="0.2">
      <c r="A43" t="s">
        <v>29</v>
      </c>
      <c r="B43" s="1">
        <v>814</v>
      </c>
      <c r="C43" s="1">
        <v>756</v>
      </c>
      <c r="D43" s="1">
        <v>756</v>
      </c>
      <c r="E43" s="1">
        <v>756</v>
      </c>
      <c r="F43" s="1">
        <v>756</v>
      </c>
      <c r="G43" s="1">
        <v>756</v>
      </c>
      <c r="H43" s="7">
        <f t="shared" si="1"/>
        <v>0.92874692874692877</v>
      </c>
    </row>
    <row r="44" spans="1:8" x14ac:dyDescent="0.2">
      <c r="B44" s="1"/>
      <c r="C44" s="1"/>
      <c r="D44" s="1"/>
      <c r="E44" s="1"/>
      <c r="F44" s="1"/>
      <c r="G44" s="1"/>
      <c r="H44" s="7"/>
    </row>
    <row r="45" spans="1:8" x14ac:dyDescent="0.2">
      <c r="A45" s="5" t="s">
        <v>7</v>
      </c>
      <c r="B45" s="6">
        <f>SUM(B34:B43)</f>
        <v>897419</v>
      </c>
      <c r="C45" s="6">
        <f t="shared" ref="C45:G45" si="2">SUM(C34:C43)</f>
        <v>838492</v>
      </c>
      <c r="D45" s="6">
        <f t="shared" si="2"/>
        <v>837457</v>
      </c>
      <c r="E45" s="6">
        <f t="shared" si="2"/>
        <v>828136</v>
      </c>
      <c r="F45" s="6">
        <f t="shared" si="2"/>
        <v>828136</v>
      </c>
      <c r="G45" s="6">
        <f t="shared" si="2"/>
        <v>628836</v>
      </c>
      <c r="H45" s="8">
        <f>G45/B45</f>
        <v>0.70071616491293365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83A7-8B22-934F-9270-9D255A817916}">
  <dimension ref="A1:O49"/>
  <sheetViews>
    <sheetView zoomScale="190" zoomScaleNormal="190" workbookViewId="0">
      <selection activeCell="A5" sqref="A5"/>
    </sheetView>
  </sheetViews>
  <sheetFormatPr baseColWidth="10" defaultRowHeight="16" x14ac:dyDescent="0.2"/>
  <cols>
    <col min="1" max="1" width="19.83203125" customWidth="1"/>
  </cols>
  <sheetData>
    <row r="1" spans="1:15" x14ac:dyDescent="0.2">
      <c r="A1" s="2" t="s">
        <v>49</v>
      </c>
    </row>
    <row r="2" spans="1:15" x14ac:dyDescent="0.2">
      <c r="A2" s="2"/>
    </row>
    <row r="3" spans="1:15" x14ac:dyDescent="0.2">
      <c r="A3" s="3" t="s">
        <v>68</v>
      </c>
      <c r="B3" s="4"/>
      <c r="C3" s="4"/>
      <c r="D3" s="4"/>
    </row>
    <row r="4" spans="1:15" x14ac:dyDescent="0.2">
      <c r="A4" s="14" t="s">
        <v>69</v>
      </c>
      <c r="B4" s="14" t="s">
        <v>4</v>
      </c>
      <c r="C4" s="15"/>
      <c r="D4" s="15"/>
    </row>
    <row r="5" spans="1:15" x14ac:dyDescent="0.2">
      <c r="A5" s="16">
        <f>1562010/2</f>
        <v>781005</v>
      </c>
      <c r="B5" s="17">
        <v>92.39</v>
      </c>
      <c r="C5" s="17"/>
      <c r="D5" s="17"/>
    </row>
    <row r="6" spans="1:15" x14ac:dyDescent="0.2">
      <c r="A6" s="2"/>
    </row>
    <row r="7" spans="1:15" x14ac:dyDescent="0.2">
      <c r="A7" s="2"/>
    </row>
    <row r="8" spans="1:15" x14ac:dyDescent="0.2">
      <c r="A8" t="s">
        <v>70</v>
      </c>
    </row>
    <row r="9" spans="1:15" x14ac:dyDescent="0.2">
      <c r="A9" s="3" t="s">
        <v>0</v>
      </c>
      <c r="B9" s="3" t="s">
        <v>1</v>
      </c>
      <c r="C9" s="3"/>
      <c r="D9" s="3" t="s">
        <v>5</v>
      </c>
      <c r="E9" s="3"/>
      <c r="F9" s="3" t="s">
        <v>6</v>
      </c>
      <c r="G9" s="3"/>
      <c r="H9" s="3"/>
      <c r="I9" s="3" t="s">
        <v>7</v>
      </c>
    </row>
    <row r="10" spans="1:15" x14ac:dyDescent="0.2">
      <c r="A10" s="2" t="s">
        <v>2</v>
      </c>
      <c r="B10" s="2" t="s">
        <v>3</v>
      </c>
      <c r="C10" s="2" t="s">
        <v>4</v>
      </c>
      <c r="D10" s="2" t="s">
        <v>3</v>
      </c>
      <c r="E10" s="2" t="s">
        <v>4</v>
      </c>
      <c r="F10" s="2" t="s">
        <v>3</v>
      </c>
      <c r="G10" s="2" t="s">
        <v>4</v>
      </c>
    </row>
    <row r="11" spans="1:15" x14ac:dyDescent="0.2">
      <c r="A11" t="s">
        <v>33</v>
      </c>
      <c r="B11" s="10">
        <v>37230</v>
      </c>
      <c r="C11" s="11">
        <v>93.15</v>
      </c>
      <c r="D11" s="12">
        <v>47941</v>
      </c>
      <c r="E11" s="11">
        <v>92.28</v>
      </c>
      <c r="F11" s="1">
        <v>20305</v>
      </c>
      <c r="G11">
        <v>92.55</v>
      </c>
      <c r="I11" s="1">
        <f>SUM(B11,D11,F11)</f>
        <v>105476</v>
      </c>
      <c r="N11" s="1"/>
      <c r="O11" s="1"/>
    </row>
    <row r="12" spans="1:15" x14ac:dyDescent="0.2">
      <c r="A12" t="s">
        <v>34</v>
      </c>
      <c r="B12" s="10">
        <v>39862</v>
      </c>
      <c r="C12" s="11">
        <v>93.27</v>
      </c>
      <c r="D12" s="12">
        <v>54918</v>
      </c>
      <c r="E12" s="11">
        <v>92.26</v>
      </c>
      <c r="F12" s="1">
        <v>22242</v>
      </c>
      <c r="G12">
        <v>92.77</v>
      </c>
      <c r="I12" s="1">
        <f t="shared" ref="I12:I26" si="0">SUM(B12,D12,F12)</f>
        <v>117022</v>
      </c>
      <c r="N12" s="1"/>
      <c r="O12" s="1"/>
    </row>
    <row r="13" spans="1:15" x14ac:dyDescent="0.2">
      <c r="A13" t="s">
        <v>35</v>
      </c>
      <c r="B13" s="10">
        <v>40191</v>
      </c>
      <c r="C13" s="11">
        <v>93.25</v>
      </c>
      <c r="D13" s="12">
        <v>54100</v>
      </c>
      <c r="E13" s="11">
        <v>92.39</v>
      </c>
      <c r="F13" s="1">
        <v>22052</v>
      </c>
      <c r="G13">
        <v>92.63</v>
      </c>
      <c r="I13" s="1">
        <f t="shared" si="0"/>
        <v>116343</v>
      </c>
      <c r="N13" s="1"/>
      <c r="O13" s="1"/>
    </row>
    <row r="14" spans="1:15" x14ac:dyDescent="0.2">
      <c r="A14" t="s">
        <v>36</v>
      </c>
      <c r="B14" s="10">
        <v>34980</v>
      </c>
      <c r="C14" s="11">
        <v>93.23</v>
      </c>
      <c r="D14" s="12">
        <v>45354</v>
      </c>
      <c r="E14" s="11">
        <v>92.22</v>
      </c>
      <c r="F14" s="1">
        <v>20280</v>
      </c>
      <c r="G14">
        <v>92.49</v>
      </c>
      <c r="I14" s="1">
        <f t="shared" si="0"/>
        <v>100614</v>
      </c>
      <c r="N14" s="1"/>
      <c r="O14" s="1"/>
    </row>
    <row r="15" spans="1:15" x14ac:dyDescent="0.2">
      <c r="A15" t="s">
        <v>37</v>
      </c>
      <c r="B15" s="10">
        <v>36982</v>
      </c>
      <c r="C15" s="11">
        <v>93.14</v>
      </c>
      <c r="D15" s="12">
        <v>47477</v>
      </c>
      <c r="E15" s="11">
        <v>92.07</v>
      </c>
      <c r="F15" s="1">
        <v>20307</v>
      </c>
      <c r="G15">
        <v>92.48</v>
      </c>
      <c r="I15" s="1">
        <f t="shared" si="0"/>
        <v>104766</v>
      </c>
      <c r="N15" s="1"/>
      <c r="O15" s="1"/>
    </row>
    <row r="16" spans="1:15" x14ac:dyDescent="0.2">
      <c r="A16" t="s">
        <v>38</v>
      </c>
      <c r="B16" s="10">
        <v>39683</v>
      </c>
      <c r="C16" s="11">
        <v>93.24</v>
      </c>
      <c r="D16" s="12">
        <v>52474</v>
      </c>
      <c r="E16" s="11">
        <v>92.33</v>
      </c>
      <c r="F16" s="1">
        <v>21633</v>
      </c>
      <c r="G16">
        <v>92.66</v>
      </c>
      <c r="I16" s="1">
        <f t="shared" si="0"/>
        <v>113790</v>
      </c>
      <c r="N16" s="1"/>
      <c r="O16" s="1"/>
    </row>
    <row r="17" spans="1:15" x14ac:dyDescent="0.2">
      <c r="A17" t="s">
        <v>39</v>
      </c>
      <c r="B17" s="10">
        <v>38755</v>
      </c>
      <c r="C17" s="11">
        <v>92.98</v>
      </c>
      <c r="D17" s="12">
        <v>51387</v>
      </c>
      <c r="E17" s="11">
        <v>91.87</v>
      </c>
      <c r="F17" s="1">
        <v>21643</v>
      </c>
      <c r="G17" s="11">
        <v>92.32</v>
      </c>
      <c r="I17" s="1">
        <f t="shared" si="0"/>
        <v>111785</v>
      </c>
      <c r="N17" s="1"/>
      <c r="O17" s="1"/>
    </row>
    <row r="18" spans="1:15" x14ac:dyDescent="0.2">
      <c r="A18" t="s">
        <v>40</v>
      </c>
      <c r="B18" s="13">
        <v>103</v>
      </c>
      <c r="C18" s="11">
        <v>95.08</v>
      </c>
      <c r="D18" s="11">
        <v>145</v>
      </c>
      <c r="E18" s="11">
        <v>90.67</v>
      </c>
      <c r="F18">
        <v>56</v>
      </c>
      <c r="G18" s="11">
        <v>91.52</v>
      </c>
      <c r="I18" s="1">
        <f t="shared" si="0"/>
        <v>304</v>
      </c>
      <c r="O18" s="1"/>
    </row>
    <row r="19" spans="1:15" x14ac:dyDescent="0.2">
      <c r="A19" t="s">
        <v>41</v>
      </c>
      <c r="B19" s="13">
        <v>2</v>
      </c>
      <c r="C19" s="11">
        <v>96.2</v>
      </c>
      <c r="D19" s="12">
        <v>0</v>
      </c>
      <c r="E19" s="11" t="s">
        <v>32</v>
      </c>
      <c r="F19" s="11">
        <v>0</v>
      </c>
      <c r="G19" s="11" t="s">
        <v>32</v>
      </c>
      <c r="I19" s="1">
        <f t="shared" si="0"/>
        <v>2</v>
      </c>
      <c r="O19" s="1"/>
    </row>
    <row r="20" spans="1:15" x14ac:dyDescent="0.2">
      <c r="A20" t="s">
        <v>42</v>
      </c>
      <c r="B20" s="13">
        <v>2</v>
      </c>
      <c r="C20" s="11">
        <v>95.4</v>
      </c>
      <c r="D20" s="12">
        <v>0</v>
      </c>
      <c r="E20" s="11" t="s">
        <v>32</v>
      </c>
      <c r="F20" s="1">
        <v>1</v>
      </c>
      <c r="G20" s="11">
        <v>49.6</v>
      </c>
      <c r="I20" s="1">
        <f t="shared" si="0"/>
        <v>3</v>
      </c>
      <c r="O20" s="1"/>
    </row>
    <row r="21" spans="1:15" x14ac:dyDescent="0.2">
      <c r="A21" t="s">
        <v>43</v>
      </c>
      <c r="B21" s="13">
        <v>1</v>
      </c>
      <c r="C21" s="11">
        <v>94.8</v>
      </c>
      <c r="D21" s="12">
        <v>0</v>
      </c>
      <c r="E21" s="11" t="s">
        <v>32</v>
      </c>
      <c r="F21" s="11">
        <v>0</v>
      </c>
      <c r="G21" s="11" t="s">
        <v>32</v>
      </c>
      <c r="I21" s="1">
        <f t="shared" si="0"/>
        <v>1</v>
      </c>
    </row>
    <row r="22" spans="1:15" x14ac:dyDescent="0.2">
      <c r="A22" t="s">
        <v>44</v>
      </c>
      <c r="B22" s="13">
        <v>4</v>
      </c>
      <c r="C22" s="11">
        <v>93.2</v>
      </c>
      <c r="D22" s="12">
        <v>0</v>
      </c>
      <c r="E22" s="11" t="s">
        <v>32</v>
      </c>
      <c r="F22" s="11">
        <v>0</v>
      </c>
      <c r="G22" s="11" t="s">
        <v>32</v>
      </c>
      <c r="I22" s="1">
        <f t="shared" si="0"/>
        <v>4</v>
      </c>
      <c r="O22" s="1"/>
    </row>
    <row r="23" spans="1:15" x14ac:dyDescent="0.2">
      <c r="A23" t="s">
        <v>47</v>
      </c>
      <c r="B23" s="13">
        <v>0</v>
      </c>
      <c r="C23" s="11" t="s">
        <v>32</v>
      </c>
      <c r="D23" s="12">
        <v>0</v>
      </c>
      <c r="E23" s="11" t="s">
        <v>32</v>
      </c>
      <c r="F23" s="11">
        <v>0</v>
      </c>
      <c r="G23" s="11" t="s">
        <v>32</v>
      </c>
      <c r="I23" s="1">
        <f t="shared" si="0"/>
        <v>0</v>
      </c>
      <c r="N23" s="1"/>
      <c r="O23" s="1"/>
    </row>
    <row r="24" spans="1:15" x14ac:dyDescent="0.2">
      <c r="A24" t="s">
        <v>45</v>
      </c>
      <c r="B24" s="10">
        <v>3737</v>
      </c>
      <c r="C24" s="11">
        <v>93.62</v>
      </c>
      <c r="D24" s="12">
        <v>5099</v>
      </c>
      <c r="E24" s="11">
        <v>92.61</v>
      </c>
      <c r="F24" s="1">
        <v>2058</v>
      </c>
      <c r="G24" s="11">
        <v>92.96</v>
      </c>
      <c r="I24" s="1">
        <f t="shared" si="0"/>
        <v>10894</v>
      </c>
      <c r="O24" s="1"/>
    </row>
    <row r="25" spans="1:15" x14ac:dyDescent="0.2">
      <c r="A25" t="s">
        <v>46</v>
      </c>
      <c r="B25" s="11">
        <v>0</v>
      </c>
      <c r="C25" s="11" t="s">
        <v>32</v>
      </c>
      <c r="D25" s="11">
        <v>1</v>
      </c>
      <c r="E25" s="11">
        <v>96</v>
      </c>
      <c r="F25" s="11">
        <v>0</v>
      </c>
      <c r="G25" s="11" t="s">
        <v>32</v>
      </c>
      <c r="I25" s="1">
        <f t="shared" si="0"/>
        <v>1</v>
      </c>
      <c r="O25" s="1"/>
    </row>
    <row r="26" spans="1:15" x14ac:dyDescent="0.2">
      <c r="A26" t="s">
        <v>48</v>
      </c>
      <c r="B26" s="11">
        <v>0</v>
      </c>
      <c r="C26" s="11" t="s">
        <v>32</v>
      </c>
      <c r="D26" s="12">
        <v>0</v>
      </c>
      <c r="E26" s="11" t="s">
        <v>32</v>
      </c>
      <c r="F26" s="11">
        <v>0</v>
      </c>
      <c r="G26" s="11" t="s">
        <v>32</v>
      </c>
      <c r="I26" s="1">
        <f t="shared" si="0"/>
        <v>0</v>
      </c>
    </row>
    <row r="28" spans="1:15" x14ac:dyDescent="0.2">
      <c r="A28" s="5" t="s">
        <v>7</v>
      </c>
      <c r="B28" s="5"/>
      <c r="C28" s="5"/>
      <c r="D28" s="5"/>
      <c r="E28" s="5"/>
      <c r="F28" s="5"/>
      <c r="G28" s="5"/>
      <c r="H28" s="5"/>
      <c r="I28" s="6">
        <f>SUM(I11:I18)</f>
        <v>770100</v>
      </c>
    </row>
    <row r="29" spans="1:15" x14ac:dyDescent="0.2">
      <c r="I29" s="1"/>
    </row>
    <row r="30" spans="1:15" x14ac:dyDescent="0.2">
      <c r="I30" s="1"/>
    </row>
    <row r="31" spans="1:15" x14ac:dyDescent="0.2">
      <c r="A31" t="s">
        <v>71</v>
      </c>
      <c r="I31" s="1"/>
    </row>
    <row r="32" spans="1:15" x14ac:dyDescent="0.2">
      <c r="A32" s="3" t="s">
        <v>15</v>
      </c>
      <c r="B32" s="4"/>
      <c r="C32" s="4"/>
      <c r="D32" s="4"/>
      <c r="E32" s="4"/>
      <c r="F32" s="4"/>
      <c r="G32" s="4"/>
      <c r="H32" s="4"/>
    </row>
    <row r="33" spans="1:8" x14ac:dyDescent="0.2">
      <c r="B33" s="2" t="s">
        <v>8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  <c r="H33" s="2" t="s">
        <v>14</v>
      </c>
    </row>
    <row r="34" spans="1:8" x14ac:dyDescent="0.2">
      <c r="A34" s="9" t="s">
        <v>33</v>
      </c>
      <c r="B34" s="1">
        <v>104850</v>
      </c>
      <c r="C34" s="1">
        <v>98279</v>
      </c>
      <c r="D34" s="1">
        <v>98231</v>
      </c>
      <c r="E34" s="1">
        <v>97723</v>
      </c>
      <c r="F34" s="1">
        <v>97723</v>
      </c>
      <c r="G34" s="1">
        <v>77531</v>
      </c>
      <c r="H34" s="7">
        <f>G34/B34</f>
        <v>0.73944682880305201</v>
      </c>
    </row>
    <row r="35" spans="1:8" x14ac:dyDescent="0.2">
      <c r="A35" s="9" t="s">
        <v>34</v>
      </c>
      <c r="B35" s="1">
        <v>116208</v>
      </c>
      <c r="C35" s="1">
        <v>108788</v>
      </c>
      <c r="D35" s="1">
        <v>108700</v>
      </c>
      <c r="E35" s="1">
        <v>108454</v>
      </c>
      <c r="F35" s="1">
        <v>108454</v>
      </c>
      <c r="G35" s="1">
        <v>106727</v>
      </c>
      <c r="H35" s="7">
        <f t="shared" ref="H35:H47" si="1">G35/B35</f>
        <v>0.91841353435219608</v>
      </c>
    </row>
    <row r="36" spans="1:8" x14ac:dyDescent="0.2">
      <c r="A36" s="9" t="s">
        <v>35</v>
      </c>
      <c r="B36" s="1">
        <v>115520</v>
      </c>
      <c r="C36" s="1">
        <v>108005</v>
      </c>
      <c r="D36" s="1">
        <v>107913</v>
      </c>
      <c r="E36" s="1">
        <v>107255</v>
      </c>
      <c r="F36" s="1">
        <v>107255</v>
      </c>
      <c r="G36" s="1">
        <v>88643</v>
      </c>
      <c r="H36" s="7">
        <f t="shared" si="1"/>
        <v>0.76733898891966756</v>
      </c>
    </row>
    <row r="37" spans="1:8" x14ac:dyDescent="0.2">
      <c r="A37" s="9" t="s">
        <v>36</v>
      </c>
      <c r="B37" s="1">
        <v>99986</v>
      </c>
      <c r="C37" s="1">
        <v>93928</v>
      </c>
      <c r="D37" s="1">
        <v>93897</v>
      </c>
      <c r="E37" s="1">
        <v>93376</v>
      </c>
      <c r="F37" s="1">
        <v>93376</v>
      </c>
      <c r="G37" s="1">
        <v>77508</v>
      </c>
      <c r="H37" s="7">
        <f t="shared" si="1"/>
        <v>0.77518852639369507</v>
      </c>
    </row>
    <row r="38" spans="1:8" x14ac:dyDescent="0.2">
      <c r="A38" s="9" t="s">
        <v>37</v>
      </c>
      <c r="B38" s="1">
        <v>103484</v>
      </c>
      <c r="C38" s="1">
        <v>96880</v>
      </c>
      <c r="D38" s="1">
        <v>96855</v>
      </c>
      <c r="E38" s="1">
        <v>96270</v>
      </c>
      <c r="F38" s="1">
        <v>96270</v>
      </c>
      <c r="G38" s="1">
        <v>82566</v>
      </c>
      <c r="H38" s="7">
        <f t="shared" si="1"/>
        <v>0.79786247149317768</v>
      </c>
    </row>
    <row r="39" spans="1:8" x14ac:dyDescent="0.2">
      <c r="A39" s="9" t="s">
        <v>38</v>
      </c>
      <c r="B39" s="1">
        <v>113091</v>
      </c>
      <c r="C39" s="1">
        <v>106040</v>
      </c>
      <c r="D39" s="1">
        <v>105853</v>
      </c>
      <c r="E39" s="1">
        <v>104649</v>
      </c>
      <c r="F39" s="1">
        <v>104649</v>
      </c>
      <c r="G39" s="1">
        <v>80804</v>
      </c>
      <c r="H39" s="7">
        <f t="shared" si="1"/>
        <v>0.71450424879079677</v>
      </c>
    </row>
    <row r="40" spans="1:8" x14ac:dyDescent="0.2">
      <c r="A40" s="9" t="s">
        <v>39</v>
      </c>
      <c r="B40" s="1">
        <v>111103</v>
      </c>
      <c r="C40" s="1">
        <v>103938</v>
      </c>
      <c r="D40" s="1">
        <v>103921</v>
      </c>
      <c r="E40" s="1">
        <v>103626</v>
      </c>
      <c r="F40" s="1">
        <v>103626</v>
      </c>
      <c r="G40" s="1">
        <v>100330</v>
      </c>
      <c r="H40" s="7">
        <f t="shared" si="1"/>
        <v>0.90303592162227841</v>
      </c>
    </row>
    <row r="41" spans="1:8" x14ac:dyDescent="0.2">
      <c r="A41" s="9" t="s">
        <v>40</v>
      </c>
      <c r="B41" s="1">
        <v>302</v>
      </c>
      <c r="C41" s="1">
        <v>284</v>
      </c>
      <c r="D41" s="1">
        <v>284</v>
      </c>
      <c r="E41" s="1">
        <v>283</v>
      </c>
      <c r="F41" s="1">
        <v>283</v>
      </c>
      <c r="G41" s="1">
        <v>272</v>
      </c>
      <c r="H41" s="7">
        <f t="shared" si="1"/>
        <v>0.90066225165562919</v>
      </c>
    </row>
    <row r="42" spans="1:8" x14ac:dyDescent="0.2">
      <c r="A42" s="9" t="s">
        <v>41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7">
        <f t="shared" si="1"/>
        <v>1</v>
      </c>
    </row>
    <row r="43" spans="1:8" x14ac:dyDescent="0.2">
      <c r="A43" s="9" t="s">
        <v>42</v>
      </c>
      <c r="B43" s="1">
        <v>2</v>
      </c>
      <c r="C43" s="1">
        <v>2</v>
      </c>
      <c r="D43" s="1">
        <v>2</v>
      </c>
      <c r="E43" s="1">
        <v>2</v>
      </c>
      <c r="F43" s="1">
        <v>2</v>
      </c>
      <c r="G43" s="1">
        <v>2</v>
      </c>
      <c r="H43" s="7">
        <f t="shared" si="1"/>
        <v>1</v>
      </c>
    </row>
    <row r="44" spans="1:8" x14ac:dyDescent="0.2">
      <c r="A44" s="9" t="s">
        <v>43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7">
        <f t="shared" si="1"/>
        <v>1</v>
      </c>
    </row>
    <row r="45" spans="1:8" x14ac:dyDescent="0.2">
      <c r="A45" s="9" t="s">
        <v>44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7">
        <f t="shared" si="1"/>
        <v>1</v>
      </c>
    </row>
    <row r="46" spans="1:8" x14ac:dyDescent="0.2">
      <c r="A46" s="9" t="s">
        <v>45</v>
      </c>
      <c r="B46" s="1">
        <v>10817</v>
      </c>
      <c r="C46" s="1">
        <v>10222</v>
      </c>
      <c r="D46" s="1">
        <v>10222</v>
      </c>
      <c r="E46" s="1">
        <v>10222</v>
      </c>
      <c r="F46" s="1">
        <v>10222</v>
      </c>
      <c r="G46" s="1">
        <v>10222</v>
      </c>
      <c r="H46" s="7">
        <f t="shared" si="1"/>
        <v>0.94499399094018677</v>
      </c>
    </row>
    <row r="47" spans="1:8" x14ac:dyDescent="0.2">
      <c r="A47" s="9" t="s">
        <v>46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7">
        <f t="shared" si="1"/>
        <v>1</v>
      </c>
    </row>
    <row r="48" spans="1:8" x14ac:dyDescent="0.2">
      <c r="B48" s="1"/>
      <c r="C48" s="1"/>
      <c r="D48" s="1"/>
      <c r="E48" s="1"/>
      <c r="F48" s="1"/>
      <c r="G48" s="1"/>
      <c r="H48" s="7"/>
    </row>
    <row r="49" spans="1:8" x14ac:dyDescent="0.2">
      <c r="A49" s="5" t="s">
        <v>7</v>
      </c>
      <c r="B49" s="6">
        <f>SUM(B34:B47)</f>
        <v>775370</v>
      </c>
      <c r="C49" s="6">
        <f t="shared" ref="C49:G49" si="2">SUM(C34:C47)</f>
        <v>726373</v>
      </c>
      <c r="D49" s="6">
        <f t="shared" si="2"/>
        <v>725885</v>
      </c>
      <c r="E49" s="6">
        <f t="shared" si="2"/>
        <v>721867</v>
      </c>
      <c r="F49" s="6">
        <f t="shared" si="2"/>
        <v>721867</v>
      </c>
      <c r="G49" s="6">
        <f t="shared" si="2"/>
        <v>624612</v>
      </c>
      <c r="H49" s="8">
        <f>G49/B49</f>
        <v>0.8055663747630164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FC24-AF81-A44C-8BC4-A159F732E83B}">
  <dimension ref="A1:O50"/>
  <sheetViews>
    <sheetView topLeftCell="A6" zoomScale="190" zoomScaleNormal="190" workbookViewId="0">
      <selection activeCell="K34" sqref="K34"/>
    </sheetView>
  </sheetViews>
  <sheetFormatPr baseColWidth="10" defaultRowHeight="16" x14ac:dyDescent="0.2"/>
  <cols>
    <col min="1" max="1" width="19.83203125" customWidth="1"/>
  </cols>
  <sheetData>
    <row r="1" spans="1:15" x14ac:dyDescent="0.2">
      <c r="A1" s="2" t="s">
        <v>49</v>
      </c>
    </row>
    <row r="2" spans="1:15" x14ac:dyDescent="0.2">
      <c r="A2" s="2"/>
    </row>
    <row r="3" spans="1:15" x14ac:dyDescent="0.2">
      <c r="A3" s="3" t="s">
        <v>68</v>
      </c>
      <c r="B3" s="4"/>
      <c r="C3" s="4"/>
      <c r="D3" s="4"/>
    </row>
    <row r="4" spans="1:15" x14ac:dyDescent="0.2">
      <c r="A4" s="14" t="s">
        <v>69</v>
      </c>
      <c r="B4" s="14" t="s">
        <v>4</v>
      </c>
      <c r="C4" s="15"/>
      <c r="D4" s="15"/>
    </row>
    <row r="5" spans="1:15" x14ac:dyDescent="0.2">
      <c r="A5" s="16">
        <v>782716</v>
      </c>
      <c r="B5" s="17">
        <v>91.69</v>
      </c>
      <c r="C5" s="17"/>
      <c r="D5" s="17"/>
    </row>
    <row r="6" spans="1:15" x14ac:dyDescent="0.2">
      <c r="A6" s="2"/>
    </row>
    <row r="8" spans="1:15" x14ac:dyDescent="0.2">
      <c r="A8" t="s">
        <v>70</v>
      </c>
    </row>
    <row r="9" spans="1:15" x14ac:dyDescent="0.2">
      <c r="A9" s="3" t="s">
        <v>0</v>
      </c>
      <c r="B9" s="3" t="s">
        <v>1</v>
      </c>
      <c r="C9" s="3"/>
      <c r="D9" s="3" t="s">
        <v>5</v>
      </c>
      <c r="E9" s="3"/>
      <c r="F9" s="3" t="s">
        <v>6</v>
      </c>
      <c r="G9" s="3"/>
      <c r="H9" s="3"/>
      <c r="I9" s="3" t="s">
        <v>7</v>
      </c>
    </row>
    <row r="10" spans="1:15" x14ac:dyDescent="0.2">
      <c r="A10" s="2" t="s">
        <v>2</v>
      </c>
      <c r="B10" s="2" t="s">
        <v>3</v>
      </c>
      <c r="C10" s="2" t="s">
        <v>4</v>
      </c>
      <c r="D10" s="2" t="s">
        <v>3</v>
      </c>
      <c r="E10" s="2" t="s">
        <v>4</v>
      </c>
      <c r="F10" s="2" t="s">
        <v>3</v>
      </c>
      <c r="G10" s="2" t="s">
        <v>4</v>
      </c>
    </row>
    <row r="11" spans="1:15" x14ac:dyDescent="0.2">
      <c r="A11" t="s">
        <v>50</v>
      </c>
      <c r="B11" s="12">
        <v>26784</v>
      </c>
      <c r="C11" s="11">
        <v>92.71</v>
      </c>
      <c r="D11" s="12">
        <v>37861</v>
      </c>
      <c r="E11" s="11">
        <v>92.15</v>
      </c>
      <c r="F11" s="12">
        <v>14614</v>
      </c>
      <c r="G11" s="11">
        <v>92.32</v>
      </c>
      <c r="I11" s="1">
        <f>SUM(B11,D11,F11)</f>
        <v>79259</v>
      </c>
      <c r="O11" s="1"/>
    </row>
    <row r="12" spans="1:15" x14ac:dyDescent="0.2">
      <c r="A12" t="s">
        <v>51</v>
      </c>
      <c r="B12" s="12">
        <v>27172</v>
      </c>
      <c r="C12" s="11">
        <v>92.47</v>
      </c>
      <c r="D12" s="12">
        <v>38167</v>
      </c>
      <c r="E12" s="11">
        <v>91.88</v>
      </c>
      <c r="F12" s="12">
        <v>14900</v>
      </c>
      <c r="G12" s="11">
        <v>92.2</v>
      </c>
      <c r="I12" s="1">
        <f t="shared" ref="I12:I26" si="0">SUM(B12,D12,F12)</f>
        <v>80239</v>
      </c>
      <c r="O12" s="1"/>
    </row>
    <row r="13" spans="1:15" x14ac:dyDescent="0.2">
      <c r="A13" t="s">
        <v>52</v>
      </c>
      <c r="B13" s="12">
        <v>27731</v>
      </c>
      <c r="C13" s="11">
        <v>92.61</v>
      </c>
      <c r="D13" s="12">
        <v>38004</v>
      </c>
      <c r="E13" s="11">
        <v>91.95</v>
      </c>
      <c r="F13" s="12">
        <v>14642</v>
      </c>
      <c r="G13" s="11">
        <v>92.15</v>
      </c>
      <c r="I13" s="1">
        <f t="shared" si="0"/>
        <v>80377</v>
      </c>
      <c r="O13" s="1"/>
    </row>
    <row r="14" spans="1:15" x14ac:dyDescent="0.2">
      <c r="A14" t="s">
        <v>53</v>
      </c>
      <c r="B14" s="12">
        <v>25360</v>
      </c>
      <c r="C14" s="11">
        <v>92.94</v>
      </c>
      <c r="D14" s="12">
        <v>36393</v>
      </c>
      <c r="E14" s="11">
        <v>92.38</v>
      </c>
      <c r="F14" s="12">
        <v>14718</v>
      </c>
      <c r="G14" s="11">
        <v>92.15</v>
      </c>
      <c r="I14" s="1">
        <f t="shared" si="0"/>
        <v>76471</v>
      </c>
      <c r="O14" s="1"/>
    </row>
    <row r="15" spans="1:15" x14ac:dyDescent="0.2">
      <c r="A15" t="s">
        <v>54</v>
      </c>
      <c r="B15" s="12">
        <v>26951</v>
      </c>
      <c r="C15" s="11">
        <v>92.81</v>
      </c>
      <c r="D15" s="12">
        <v>37843</v>
      </c>
      <c r="E15" s="11">
        <v>92.06</v>
      </c>
      <c r="F15" s="12">
        <v>14630</v>
      </c>
      <c r="G15" s="11">
        <v>92.29</v>
      </c>
      <c r="I15" s="1">
        <f t="shared" si="0"/>
        <v>79424</v>
      </c>
      <c r="O15" s="1"/>
    </row>
    <row r="16" spans="1:15" x14ac:dyDescent="0.2">
      <c r="A16" t="s">
        <v>55</v>
      </c>
      <c r="B16" s="12">
        <v>25753</v>
      </c>
      <c r="C16" s="11">
        <v>92.62</v>
      </c>
      <c r="D16" s="12">
        <v>35848</v>
      </c>
      <c r="E16" s="11">
        <v>91.97</v>
      </c>
      <c r="F16" s="12">
        <v>14126</v>
      </c>
      <c r="G16" s="11">
        <v>92.09</v>
      </c>
      <c r="I16" s="1">
        <f t="shared" si="0"/>
        <v>75727</v>
      </c>
      <c r="O16" s="1"/>
    </row>
    <row r="17" spans="1:15" x14ac:dyDescent="0.2">
      <c r="A17" t="s">
        <v>56</v>
      </c>
      <c r="B17" s="12">
        <v>26696</v>
      </c>
      <c r="C17" s="11">
        <v>92.93</v>
      </c>
      <c r="D17" s="12">
        <v>37832</v>
      </c>
      <c r="E17" s="11">
        <v>92.28</v>
      </c>
      <c r="F17" s="12">
        <v>14613</v>
      </c>
      <c r="G17" s="11">
        <v>92.5</v>
      </c>
      <c r="I17" s="1">
        <f t="shared" si="0"/>
        <v>79141</v>
      </c>
      <c r="O17" s="1"/>
    </row>
    <row r="18" spans="1:15" x14ac:dyDescent="0.2">
      <c r="A18" t="s">
        <v>57</v>
      </c>
      <c r="B18" s="11">
        <v>169</v>
      </c>
      <c r="C18" s="11">
        <v>91.74</v>
      </c>
      <c r="D18" s="11">
        <v>214</v>
      </c>
      <c r="E18" s="11">
        <v>92.68</v>
      </c>
      <c r="F18" s="11">
        <v>78</v>
      </c>
      <c r="G18" s="11">
        <v>93.27</v>
      </c>
      <c r="I18" s="1">
        <f t="shared" si="0"/>
        <v>461</v>
      </c>
      <c r="O18" s="1"/>
    </row>
    <row r="19" spans="1:15" x14ac:dyDescent="0.2">
      <c r="A19" t="s">
        <v>58</v>
      </c>
      <c r="B19" s="11">
        <v>34</v>
      </c>
      <c r="C19" s="11">
        <v>92.39</v>
      </c>
      <c r="D19" s="11">
        <v>33</v>
      </c>
      <c r="E19" s="11">
        <v>92.41</v>
      </c>
      <c r="F19" s="11">
        <v>11</v>
      </c>
      <c r="G19" s="11">
        <v>93.49</v>
      </c>
      <c r="I19" s="1">
        <f t="shared" si="0"/>
        <v>78</v>
      </c>
      <c r="O19" s="1"/>
    </row>
    <row r="20" spans="1:15" x14ac:dyDescent="0.2">
      <c r="A20" t="s">
        <v>59</v>
      </c>
      <c r="B20" s="12">
        <v>39600</v>
      </c>
      <c r="C20" s="11">
        <v>92.47</v>
      </c>
      <c r="D20" s="12">
        <v>55796</v>
      </c>
      <c r="E20" s="11">
        <v>91.83</v>
      </c>
      <c r="F20" s="12">
        <v>21908</v>
      </c>
      <c r="G20" s="11">
        <v>92.17</v>
      </c>
      <c r="I20" s="1">
        <f t="shared" si="0"/>
        <v>117304</v>
      </c>
      <c r="O20" s="1"/>
    </row>
    <row r="21" spans="1:15" x14ac:dyDescent="0.2">
      <c r="A21" t="s">
        <v>60</v>
      </c>
      <c r="B21" s="11">
        <v>101</v>
      </c>
      <c r="C21" s="11">
        <v>92.71</v>
      </c>
      <c r="D21" s="11">
        <v>90</v>
      </c>
      <c r="E21" s="11">
        <v>94.59</v>
      </c>
      <c r="F21" s="11">
        <v>34</v>
      </c>
      <c r="G21" s="11">
        <v>93.22</v>
      </c>
      <c r="I21" s="1">
        <f t="shared" si="0"/>
        <v>225</v>
      </c>
      <c r="O21" s="1"/>
    </row>
    <row r="22" spans="1:15" x14ac:dyDescent="0.2">
      <c r="A22" t="s">
        <v>61</v>
      </c>
      <c r="B22" s="11">
        <v>20</v>
      </c>
      <c r="C22" s="11">
        <v>87.46</v>
      </c>
      <c r="D22" s="11">
        <v>0</v>
      </c>
      <c r="E22" s="11" t="s">
        <v>32</v>
      </c>
      <c r="F22" s="11">
        <v>1</v>
      </c>
      <c r="G22" s="11">
        <v>81.599999999999994</v>
      </c>
      <c r="I22" s="1">
        <f t="shared" si="0"/>
        <v>21</v>
      </c>
      <c r="O22" s="1"/>
    </row>
    <row r="23" spans="1:15" x14ac:dyDescent="0.2">
      <c r="A23" t="s">
        <v>62</v>
      </c>
      <c r="B23" s="11">
        <v>896</v>
      </c>
      <c r="C23" s="11">
        <v>94.07</v>
      </c>
      <c r="D23" s="12">
        <v>1228</v>
      </c>
      <c r="E23" s="11">
        <v>93.26</v>
      </c>
      <c r="F23" s="11">
        <v>526</v>
      </c>
      <c r="G23" s="11">
        <v>93.17</v>
      </c>
      <c r="I23" s="1">
        <f t="shared" si="0"/>
        <v>2650</v>
      </c>
      <c r="O23" s="1"/>
    </row>
    <row r="24" spans="1:15" x14ac:dyDescent="0.2">
      <c r="A24" t="s">
        <v>63</v>
      </c>
      <c r="B24" s="12">
        <v>37722</v>
      </c>
      <c r="C24" s="11">
        <v>93.09</v>
      </c>
      <c r="D24" s="12">
        <v>52329</v>
      </c>
      <c r="E24" s="11">
        <v>92.38</v>
      </c>
      <c r="F24" s="12">
        <v>21282</v>
      </c>
      <c r="G24" s="11">
        <v>92.71</v>
      </c>
      <c r="I24" s="1">
        <f t="shared" si="0"/>
        <v>111333</v>
      </c>
      <c r="O24" s="1"/>
    </row>
    <row r="25" spans="1:15" x14ac:dyDescent="0.2">
      <c r="A25" t="s">
        <v>64</v>
      </c>
      <c r="B25" s="11">
        <v>3</v>
      </c>
      <c r="C25" s="11">
        <v>96.67</v>
      </c>
      <c r="D25" s="11">
        <v>2</v>
      </c>
      <c r="E25" s="11">
        <v>97.4</v>
      </c>
      <c r="F25" s="11">
        <v>1</v>
      </c>
      <c r="G25" s="11">
        <v>94.4</v>
      </c>
      <c r="I25" s="1">
        <f t="shared" si="0"/>
        <v>6</v>
      </c>
      <c r="O25" s="1"/>
    </row>
    <row r="26" spans="1:15" x14ac:dyDescent="0.2">
      <c r="A26" t="s">
        <v>65</v>
      </c>
      <c r="B26" s="11">
        <v>0</v>
      </c>
      <c r="C26" s="11" t="s">
        <v>32</v>
      </c>
      <c r="D26" s="11">
        <v>0</v>
      </c>
      <c r="E26" s="11" t="s">
        <v>32</v>
      </c>
      <c r="F26" s="11">
        <v>0</v>
      </c>
      <c r="G26" s="11" t="s">
        <v>32</v>
      </c>
      <c r="I26" s="1">
        <f t="shared" si="0"/>
        <v>0</v>
      </c>
    </row>
    <row r="28" spans="1:15" x14ac:dyDescent="0.2">
      <c r="A28" s="5" t="s">
        <v>7</v>
      </c>
      <c r="B28" s="5"/>
      <c r="C28" s="5"/>
      <c r="D28" s="5"/>
      <c r="E28" s="5"/>
      <c r="F28" s="5"/>
      <c r="G28" s="5"/>
      <c r="H28" s="5"/>
      <c r="I28" s="6">
        <f>SUM(I11:I18)</f>
        <v>551099</v>
      </c>
    </row>
    <row r="29" spans="1:15" x14ac:dyDescent="0.2">
      <c r="I29" s="1"/>
    </row>
    <row r="30" spans="1:15" x14ac:dyDescent="0.2">
      <c r="I30" s="1"/>
    </row>
    <row r="31" spans="1:15" x14ac:dyDescent="0.2">
      <c r="A31" t="s">
        <v>71</v>
      </c>
      <c r="I31" s="1"/>
    </row>
    <row r="32" spans="1:15" x14ac:dyDescent="0.2">
      <c r="A32" s="3" t="s">
        <v>15</v>
      </c>
      <c r="B32" s="4"/>
      <c r="C32" s="4"/>
      <c r="D32" s="4"/>
      <c r="E32" s="4"/>
      <c r="F32" s="4"/>
      <c r="G32" s="4"/>
      <c r="H32" s="4"/>
    </row>
    <row r="33" spans="1:8" x14ac:dyDescent="0.2">
      <c r="B33" s="2" t="s">
        <v>8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  <c r="H33" s="2" t="s">
        <v>14</v>
      </c>
    </row>
    <row r="34" spans="1:8" x14ac:dyDescent="0.2">
      <c r="A34" t="s">
        <v>50</v>
      </c>
      <c r="B34" s="1">
        <v>78819</v>
      </c>
      <c r="C34" s="1">
        <v>73104</v>
      </c>
      <c r="D34" s="1">
        <v>73068</v>
      </c>
      <c r="E34" s="1">
        <v>72776</v>
      </c>
      <c r="F34" s="1">
        <v>72776</v>
      </c>
      <c r="G34" s="1">
        <v>52597</v>
      </c>
      <c r="H34" s="7">
        <f>G34/B34</f>
        <v>0.66731371877339218</v>
      </c>
    </row>
    <row r="35" spans="1:8" x14ac:dyDescent="0.2">
      <c r="A35" t="s">
        <v>51</v>
      </c>
      <c r="B35" s="1">
        <v>79708</v>
      </c>
      <c r="C35" s="1">
        <v>73587</v>
      </c>
      <c r="D35" s="1">
        <v>73553</v>
      </c>
      <c r="E35" s="1">
        <v>73306</v>
      </c>
      <c r="F35" s="1">
        <v>73306</v>
      </c>
      <c r="G35" s="1">
        <v>69981</v>
      </c>
      <c r="H35" s="7">
        <f t="shared" ref="H35:H48" si="1">G35/B35</f>
        <v>0.87796707984142119</v>
      </c>
    </row>
    <row r="36" spans="1:8" x14ac:dyDescent="0.2">
      <c r="A36" t="s">
        <v>52</v>
      </c>
      <c r="B36" s="1">
        <v>79896</v>
      </c>
      <c r="C36" s="1">
        <v>73669</v>
      </c>
      <c r="D36" s="1">
        <v>73628</v>
      </c>
      <c r="E36" s="1">
        <v>73395</v>
      </c>
      <c r="F36" s="1">
        <v>73395</v>
      </c>
      <c r="G36" s="1">
        <v>56826</v>
      </c>
      <c r="H36" s="7">
        <f t="shared" si="1"/>
        <v>0.71124962451186546</v>
      </c>
    </row>
    <row r="37" spans="1:8" x14ac:dyDescent="0.2">
      <c r="A37" t="s">
        <v>53</v>
      </c>
      <c r="B37" s="1">
        <v>76058</v>
      </c>
      <c r="C37" s="1">
        <v>70874</v>
      </c>
      <c r="D37" s="1">
        <v>70817</v>
      </c>
      <c r="E37" s="1">
        <v>70516</v>
      </c>
      <c r="F37" s="1">
        <v>70516</v>
      </c>
      <c r="G37" s="1">
        <v>60671</v>
      </c>
      <c r="H37" s="7">
        <f t="shared" si="1"/>
        <v>0.79769386520813068</v>
      </c>
    </row>
    <row r="38" spans="1:8" x14ac:dyDescent="0.2">
      <c r="A38" t="s">
        <v>54</v>
      </c>
      <c r="B38" s="1">
        <v>78996</v>
      </c>
      <c r="C38" s="1">
        <v>73181</v>
      </c>
      <c r="D38" s="1">
        <v>73154</v>
      </c>
      <c r="E38" s="1">
        <v>72904</v>
      </c>
      <c r="F38" s="1">
        <v>72904</v>
      </c>
      <c r="G38" s="1">
        <v>62657</v>
      </c>
      <c r="H38" s="7">
        <f t="shared" si="1"/>
        <v>0.79316674261987952</v>
      </c>
    </row>
    <row r="39" spans="1:8" x14ac:dyDescent="0.2">
      <c r="A39" t="s">
        <v>55</v>
      </c>
      <c r="B39" s="1">
        <v>75301</v>
      </c>
      <c r="C39" s="1">
        <v>69681</v>
      </c>
      <c r="D39" s="1">
        <v>69571</v>
      </c>
      <c r="E39" s="1">
        <v>68478</v>
      </c>
      <c r="F39" s="1">
        <v>68478</v>
      </c>
      <c r="G39" s="1">
        <v>42176</v>
      </c>
      <c r="H39" s="7">
        <f t="shared" si="1"/>
        <v>0.56009880346874541</v>
      </c>
    </row>
    <row r="40" spans="1:8" x14ac:dyDescent="0.2">
      <c r="A40" t="s">
        <v>56</v>
      </c>
      <c r="B40" s="1">
        <v>78000</v>
      </c>
      <c r="C40" s="1">
        <v>72352</v>
      </c>
      <c r="D40" s="1">
        <v>72214</v>
      </c>
      <c r="E40" s="1">
        <v>71131</v>
      </c>
      <c r="F40" s="1">
        <v>71131</v>
      </c>
      <c r="G40" s="1">
        <v>68266</v>
      </c>
      <c r="H40" s="7">
        <f t="shared" si="1"/>
        <v>0.87520512820512819</v>
      </c>
    </row>
    <row r="41" spans="1:8" x14ac:dyDescent="0.2">
      <c r="A41" t="s">
        <v>57</v>
      </c>
      <c r="B41" s="1">
        <v>454</v>
      </c>
      <c r="C41" s="1">
        <v>422</v>
      </c>
      <c r="D41" s="1">
        <v>422</v>
      </c>
      <c r="E41" s="1">
        <v>422</v>
      </c>
      <c r="F41" s="1">
        <v>422</v>
      </c>
      <c r="G41" s="1">
        <v>416</v>
      </c>
      <c r="H41" s="7">
        <f t="shared" si="1"/>
        <v>0.91629955947136565</v>
      </c>
    </row>
    <row r="42" spans="1:8" x14ac:dyDescent="0.2">
      <c r="A42" t="s">
        <v>58</v>
      </c>
      <c r="B42" s="1">
        <v>78</v>
      </c>
      <c r="C42" s="1">
        <v>70</v>
      </c>
      <c r="D42" s="1">
        <v>70</v>
      </c>
      <c r="E42" s="1">
        <v>70</v>
      </c>
      <c r="F42" s="1">
        <v>70</v>
      </c>
      <c r="G42" s="1">
        <v>70</v>
      </c>
      <c r="H42" s="7">
        <f t="shared" si="1"/>
        <v>0.89743589743589747</v>
      </c>
    </row>
    <row r="43" spans="1:8" x14ac:dyDescent="0.2">
      <c r="A43" t="s">
        <v>59</v>
      </c>
      <c r="B43" s="1">
        <v>116006</v>
      </c>
      <c r="C43" s="1">
        <v>106496</v>
      </c>
      <c r="D43" s="1">
        <v>106489</v>
      </c>
      <c r="E43" s="1">
        <v>106487</v>
      </c>
      <c r="F43" s="1">
        <v>106487</v>
      </c>
      <c r="G43" s="1">
        <v>106447</v>
      </c>
      <c r="H43" s="7">
        <f t="shared" si="1"/>
        <v>0.91759908970225679</v>
      </c>
    </row>
    <row r="44" spans="1:8" x14ac:dyDescent="0.2">
      <c r="A44" t="s">
        <v>60</v>
      </c>
      <c r="B44" s="1">
        <v>221</v>
      </c>
      <c r="C44" s="1">
        <v>209</v>
      </c>
      <c r="D44" s="1">
        <v>209</v>
      </c>
      <c r="E44" s="1">
        <v>209</v>
      </c>
      <c r="F44" s="1">
        <v>209</v>
      </c>
      <c r="G44" s="1">
        <v>209</v>
      </c>
      <c r="H44" s="7">
        <f t="shared" si="1"/>
        <v>0.94570135746606332</v>
      </c>
    </row>
    <row r="45" spans="1:8" x14ac:dyDescent="0.2">
      <c r="A45" t="s">
        <v>61</v>
      </c>
      <c r="B45" s="1">
        <v>19</v>
      </c>
      <c r="C45" s="1">
        <v>16</v>
      </c>
      <c r="D45" s="1">
        <v>16</v>
      </c>
      <c r="E45" s="1">
        <v>16</v>
      </c>
      <c r="F45" s="1">
        <v>16</v>
      </c>
      <c r="G45" s="1">
        <v>16</v>
      </c>
      <c r="H45" s="7">
        <f t="shared" si="1"/>
        <v>0.84210526315789469</v>
      </c>
    </row>
    <row r="46" spans="1:8" x14ac:dyDescent="0.2">
      <c r="A46" t="s">
        <v>62</v>
      </c>
      <c r="B46" s="1">
        <v>2555</v>
      </c>
      <c r="C46" s="1">
        <v>2393</v>
      </c>
      <c r="D46" s="1">
        <v>2393</v>
      </c>
      <c r="E46" s="1">
        <v>2393</v>
      </c>
      <c r="F46" s="1">
        <v>2393</v>
      </c>
      <c r="G46" s="1">
        <v>2393</v>
      </c>
      <c r="H46" s="7">
        <f t="shared" si="1"/>
        <v>0.93659491193737765</v>
      </c>
    </row>
    <row r="47" spans="1:8" x14ac:dyDescent="0.2">
      <c r="A47" t="s">
        <v>63</v>
      </c>
      <c r="B47" s="1">
        <v>109578</v>
      </c>
      <c r="C47" s="1">
        <v>101642</v>
      </c>
      <c r="D47" s="1">
        <v>101634</v>
      </c>
      <c r="E47" s="1">
        <v>101628</v>
      </c>
      <c r="F47" s="1">
        <v>101628</v>
      </c>
      <c r="G47" s="1">
        <v>101449</v>
      </c>
      <c r="H47" s="7">
        <f t="shared" si="1"/>
        <v>0.92581540090164083</v>
      </c>
    </row>
    <row r="48" spans="1:8" x14ac:dyDescent="0.2">
      <c r="A48" t="s">
        <v>64</v>
      </c>
      <c r="B48" s="1">
        <v>5</v>
      </c>
      <c r="C48" s="1">
        <v>5</v>
      </c>
      <c r="D48" s="1">
        <v>5</v>
      </c>
      <c r="E48" s="1">
        <v>5</v>
      </c>
      <c r="F48" s="1">
        <v>5</v>
      </c>
      <c r="G48" s="1">
        <v>5</v>
      </c>
      <c r="H48" s="7">
        <f t="shared" si="1"/>
        <v>1</v>
      </c>
    </row>
    <row r="49" spans="1:8" x14ac:dyDescent="0.2">
      <c r="B49" s="1"/>
      <c r="C49" s="1"/>
      <c r="D49" s="1"/>
      <c r="E49" s="1"/>
      <c r="F49" s="1"/>
      <c r="G49" s="1"/>
      <c r="H49" s="7"/>
    </row>
    <row r="50" spans="1:8" x14ac:dyDescent="0.2">
      <c r="A50" s="5" t="s">
        <v>7</v>
      </c>
      <c r="B50" s="6">
        <f t="shared" ref="B50:G50" si="2">SUM(B34:B48)</f>
        <v>775694</v>
      </c>
      <c r="C50" s="6">
        <f t="shared" si="2"/>
        <v>717701</v>
      </c>
      <c r="D50" s="6">
        <f t="shared" si="2"/>
        <v>717243</v>
      </c>
      <c r="E50" s="6">
        <f t="shared" si="2"/>
        <v>713736</v>
      </c>
      <c r="F50" s="6">
        <f t="shared" si="2"/>
        <v>713736</v>
      </c>
      <c r="G50" s="6">
        <f t="shared" si="2"/>
        <v>624179</v>
      </c>
      <c r="H50" s="8">
        <f>G50/B50</f>
        <v>0.80467168754689344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856B-65E9-CF47-89CF-E09483433B96}">
  <dimension ref="A1:O43"/>
  <sheetViews>
    <sheetView zoomScale="190" zoomScaleNormal="190" workbookViewId="0">
      <selection activeCell="A2" sqref="A2:XFD8"/>
    </sheetView>
  </sheetViews>
  <sheetFormatPr baseColWidth="10" defaultRowHeight="16" x14ac:dyDescent="0.2"/>
  <cols>
    <col min="1" max="1" width="19.83203125" customWidth="1"/>
  </cols>
  <sheetData>
    <row r="1" spans="1:15" x14ac:dyDescent="0.2">
      <c r="A1" s="2" t="s">
        <v>49</v>
      </c>
    </row>
    <row r="2" spans="1:15" x14ac:dyDescent="0.2">
      <c r="A2" s="2"/>
    </row>
    <row r="3" spans="1:15" x14ac:dyDescent="0.2">
      <c r="A3" s="3" t="s">
        <v>68</v>
      </c>
      <c r="B3" s="4"/>
      <c r="C3" s="4"/>
      <c r="D3" s="4"/>
    </row>
    <row r="4" spans="1:15" x14ac:dyDescent="0.2">
      <c r="A4" s="14" t="s">
        <v>69</v>
      </c>
      <c r="B4" s="14" t="s">
        <v>4</v>
      </c>
      <c r="C4" s="15"/>
      <c r="D4" s="15"/>
    </row>
    <row r="5" spans="1:15" x14ac:dyDescent="0.2">
      <c r="A5" s="16">
        <f>1731482/2</f>
        <v>865741</v>
      </c>
      <c r="B5" s="17">
        <v>91</v>
      </c>
      <c r="C5" s="17"/>
      <c r="D5" s="17"/>
    </row>
    <row r="6" spans="1:15" x14ac:dyDescent="0.2">
      <c r="A6" s="2"/>
    </row>
    <row r="8" spans="1:15" x14ac:dyDescent="0.2">
      <c r="A8" t="s">
        <v>70</v>
      </c>
    </row>
    <row r="9" spans="1:15" x14ac:dyDescent="0.2">
      <c r="A9" s="3" t="s">
        <v>0</v>
      </c>
      <c r="B9" s="3" t="s">
        <v>1</v>
      </c>
      <c r="C9" s="3"/>
      <c r="D9" s="3" t="s">
        <v>5</v>
      </c>
      <c r="E9" s="3"/>
      <c r="F9" s="3" t="s">
        <v>6</v>
      </c>
      <c r="G9" s="3"/>
      <c r="H9" s="3"/>
      <c r="I9" s="3" t="s">
        <v>7</v>
      </c>
    </row>
    <row r="10" spans="1:15" x14ac:dyDescent="0.2">
      <c r="A10" s="2" t="s">
        <v>2</v>
      </c>
      <c r="B10" s="2" t="s">
        <v>3</v>
      </c>
      <c r="C10" s="2" t="s">
        <v>4</v>
      </c>
      <c r="D10" s="2" t="s">
        <v>3</v>
      </c>
      <c r="E10" s="2" t="s">
        <v>4</v>
      </c>
      <c r="F10" s="2" t="s">
        <v>3</v>
      </c>
      <c r="G10" s="2" t="s">
        <v>4</v>
      </c>
    </row>
    <row r="11" spans="1:15" x14ac:dyDescent="0.2">
      <c r="A11" t="s">
        <v>72</v>
      </c>
      <c r="B11" s="1">
        <v>42687</v>
      </c>
      <c r="C11">
        <v>90.9</v>
      </c>
      <c r="D11" s="1">
        <v>56893</v>
      </c>
      <c r="E11">
        <v>90.54</v>
      </c>
      <c r="F11" s="1">
        <v>23754</v>
      </c>
      <c r="G11">
        <v>91.33</v>
      </c>
      <c r="I11" s="1">
        <f t="shared" ref="I11:I26" si="0">SUM(B11,D11,F11)</f>
        <v>123334</v>
      </c>
      <c r="N11" s="1"/>
      <c r="O11" s="1"/>
    </row>
    <row r="12" spans="1:15" x14ac:dyDescent="0.2">
      <c r="A12" t="s">
        <v>73</v>
      </c>
      <c r="B12" s="1">
        <v>46705</v>
      </c>
      <c r="C12">
        <v>91.12</v>
      </c>
      <c r="D12" s="1">
        <v>62550</v>
      </c>
      <c r="E12">
        <v>90.69</v>
      </c>
      <c r="F12" s="1">
        <v>25654</v>
      </c>
      <c r="G12">
        <v>91.26</v>
      </c>
      <c r="I12" s="1">
        <f t="shared" si="0"/>
        <v>134909</v>
      </c>
      <c r="N12" s="1"/>
      <c r="O12" s="1"/>
    </row>
    <row r="13" spans="1:15" x14ac:dyDescent="0.2">
      <c r="A13" t="s">
        <v>74</v>
      </c>
      <c r="B13" s="1">
        <v>43236</v>
      </c>
      <c r="C13">
        <v>90.58</v>
      </c>
      <c r="D13" s="1">
        <v>58521</v>
      </c>
      <c r="E13">
        <v>90.35</v>
      </c>
      <c r="F13" s="1">
        <v>24200</v>
      </c>
      <c r="G13">
        <v>91.01</v>
      </c>
      <c r="I13" s="1">
        <f t="shared" si="0"/>
        <v>125957</v>
      </c>
      <c r="N13" s="1"/>
      <c r="O13" s="1"/>
    </row>
    <row r="14" spans="1:15" x14ac:dyDescent="0.2">
      <c r="A14" t="s">
        <v>75</v>
      </c>
      <c r="B14" s="1">
        <v>38806</v>
      </c>
      <c r="C14">
        <v>91.03</v>
      </c>
      <c r="D14" s="1">
        <v>52041</v>
      </c>
      <c r="E14">
        <v>90.72</v>
      </c>
      <c r="F14" s="1">
        <v>21962</v>
      </c>
      <c r="G14">
        <v>91.18</v>
      </c>
      <c r="I14" s="1">
        <f t="shared" si="0"/>
        <v>112809</v>
      </c>
      <c r="N14" s="1"/>
      <c r="O14" s="1"/>
    </row>
    <row r="15" spans="1:15" x14ac:dyDescent="0.2">
      <c r="A15" t="s">
        <v>76</v>
      </c>
      <c r="B15" s="1">
        <v>40569</v>
      </c>
      <c r="C15">
        <v>91.02</v>
      </c>
      <c r="D15" s="1">
        <v>53901</v>
      </c>
      <c r="E15">
        <v>90.56</v>
      </c>
      <c r="F15" s="1">
        <v>22355</v>
      </c>
      <c r="G15">
        <v>91.38</v>
      </c>
      <c r="I15" s="1">
        <f t="shared" si="0"/>
        <v>116825</v>
      </c>
      <c r="N15" s="1"/>
      <c r="O15" s="1"/>
    </row>
    <row r="16" spans="1:15" x14ac:dyDescent="0.2">
      <c r="A16" t="s">
        <v>77</v>
      </c>
      <c r="B16" s="12">
        <v>41256</v>
      </c>
      <c r="C16" s="11">
        <v>91.15</v>
      </c>
      <c r="D16" s="12">
        <v>55526</v>
      </c>
      <c r="E16" s="11">
        <v>90.82</v>
      </c>
      <c r="F16" s="12">
        <v>23230</v>
      </c>
      <c r="G16" s="11">
        <v>91.39</v>
      </c>
      <c r="I16" s="1">
        <f t="shared" si="0"/>
        <v>120012</v>
      </c>
      <c r="N16" s="1"/>
      <c r="O16" s="1"/>
    </row>
    <row r="17" spans="1:15" x14ac:dyDescent="0.2">
      <c r="A17" t="s">
        <v>78</v>
      </c>
      <c r="B17" s="12">
        <v>45561</v>
      </c>
      <c r="C17" s="11">
        <v>90.51</v>
      </c>
      <c r="D17" s="12">
        <v>61197</v>
      </c>
      <c r="E17" s="11">
        <v>90.01</v>
      </c>
      <c r="F17" s="12">
        <v>25046</v>
      </c>
      <c r="G17" s="11">
        <v>90.78</v>
      </c>
      <c r="I17" s="1">
        <f t="shared" si="0"/>
        <v>131804</v>
      </c>
      <c r="N17" s="1"/>
      <c r="O17" s="1"/>
    </row>
    <row r="18" spans="1:15" x14ac:dyDescent="0.2">
      <c r="A18" t="s">
        <v>79</v>
      </c>
      <c r="B18" s="11">
        <v>30</v>
      </c>
      <c r="C18" s="11">
        <v>90.99</v>
      </c>
      <c r="D18" s="11">
        <v>32</v>
      </c>
      <c r="E18" s="11">
        <v>91.13</v>
      </c>
      <c r="F18" s="11">
        <v>14</v>
      </c>
      <c r="G18" s="11">
        <v>89.6</v>
      </c>
      <c r="I18" s="1">
        <f t="shared" si="0"/>
        <v>76</v>
      </c>
      <c r="O18" s="1"/>
    </row>
    <row r="19" spans="1:15" x14ac:dyDescent="0.2">
      <c r="A19" t="s">
        <v>80</v>
      </c>
      <c r="B19" s="11">
        <v>0</v>
      </c>
      <c r="C19" s="11" t="s">
        <v>32</v>
      </c>
      <c r="D19" s="12">
        <v>0</v>
      </c>
      <c r="E19" s="11" t="s">
        <v>32</v>
      </c>
      <c r="F19" s="12">
        <v>0</v>
      </c>
      <c r="G19" s="11" t="s">
        <v>32</v>
      </c>
      <c r="I19" s="1">
        <f t="shared" si="0"/>
        <v>0</v>
      </c>
      <c r="O19" s="1"/>
    </row>
    <row r="20" spans="1:15" x14ac:dyDescent="0.2">
      <c r="A20" t="s">
        <v>81</v>
      </c>
      <c r="B20" s="11">
        <v>0</v>
      </c>
      <c r="C20" s="11" t="s">
        <v>32</v>
      </c>
      <c r="D20" s="12">
        <v>0</v>
      </c>
      <c r="E20" s="11" t="s">
        <v>32</v>
      </c>
      <c r="F20" s="11">
        <v>11</v>
      </c>
      <c r="G20" s="11">
        <v>83.16</v>
      </c>
      <c r="I20" s="1">
        <f t="shared" si="0"/>
        <v>11</v>
      </c>
    </row>
    <row r="21" spans="1:15" x14ac:dyDescent="0.2">
      <c r="A21" t="s">
        <v>82</v>
      </c>
      <c r="B21" s="11">
        <v>0</v>
      </c>
      <c r="C21" s="11" t="s">
        <v>32</v>
      </c>
      <c r="D21" s="12">
        <v>0</v>
      </c>
      <c r="E21" s="11" t="s">
        <v>32</v>
      </c>
      <c r="F21" s="12">
        <v>0</v>
      </c>
      <c r="G21" s="11" t="s">
        <v>32</v>
      </c>
      <c r="I21" s="1">
        <f t="shared" si="0"/>
        <v>0</v>
      </c>
    </row>
    <row r="22" spans="1:15" x14ac:dyDescent="0.2">
      <c r="A22" t="s">
        <v>83</v>
      </c>
      <c r="B22" s="11">
        <v>0</v>
      </c>
      <c r="C22" s="11" t="s">
        <v>32</v>
      </c>
      <c r="D22" s="12">
        <v>0</v>
      </c>
      <c r="E22" s="11" t="s">
        <v>32</v>
      </c>
      <c r="F22" s="11">
        <v>1</v>
      </c>
      <c r="G22" s="11">
        <v>79.2</v>
      </c>
      <c r="I22" s="1">
        <f t="shared" si="0"/>
        <v>1</v>
      </c>
    </row>
    <row r="23" spans="1:15" x14ac:dyDescent="0.2">
      <c r="A23" t="s">
        <v>84</v>
      </c>
      <c r="B23" s="11">
        <v>0</v>
      </c>
      <c r="C23" s="11" t="s">
        <v>32</v>
      </c>
      <c r="D23" s="12">
        <v>0</v>
      </c>
      <c r="E23" s="11" t="s">
        <v>32</v>
      </c>
      <c r="F23" s="12">
        <v>0</v>
      </c>
      <c r="G23" s="11" t="s">
        <v>32</v>
      </c>
      <c r="I23" s="1">
        <f t="shared" si="0"/>
        <v>0</v>
      </c>
    </row>
    <row r="24" spans="1:15" x14ac:dyDescent="0.2">
      <c r="A24" t="s">
        <v>85</v>
      </c>
      <c r="B24" s="11">
        <v>0</v>
      </c>
      <c r="C24" s="11" t="s">
        <v>32</v>
      </c>
      <c r="D24" s="12">
        <v>0</v>
      </c>
      <c r="E24" s="11" t="s">
        <v>32</v>
      </c>
      <c r="F24" s="11">
        <v>2</v>
      </c>
      <c r="G24" s="11">
        <v>69.599999999999994</v>
      </c>
      <c r="I24" s="1">
        <f t="shared" si="0"/>
        <v>2</v>
      </c>
      <c r="O24" s="1"/>
    </row>
    <row r="25" spans="1:15" x14ac:dyDescent="0.2">
      <c r="A25" t="s">
        <v>86</v>
      </c>
      <c r="B25" s="11">
        <v>0</v>
      </c>
      <c r="C25" s="11" t="s">
        <v>32</v>
      </c>
      <c r="D25" s="12">
        <v>0</v>
      </c>
      <c r="E25" s="11" t="s">
        <v>32</v>
      </c>
      <c r="F25" s="11">
        <v>1</v>
      </c>
      <c r="G25" s="11">
        <v>80.8</v>
      </c>
      <c r="I25" s="1">
        <f t="shared" si="0"/>
        <v>1</v>
      </c>
      <c r="O25" s="1"/>
    </row>
    <row r="26" spans="1:15" x14ac:dyDescent="0.2">
      <c r="A26" t="s">
        <v>87</v>
      </c>
      <c r="B26" s="11">
        <v>0</v>
      </c>
      <c r="C26" s="11" t="s">
        <v>32</v>
      </c>
      <c r="D26" s="12">
        <v>0</v>
      </c>
      <c r="E26" s="11" t="s">
        <v>32</v>
      </c>
      <c r="F26" s="11">
        <v>0</v>
      </c>
      <c r="G26" s="11" t="s">
        <v>32</v>
      </c>
      <c r="I26" s="1">
        <f t="shared" si="0"/>
        <v>0</v>
      </c>
    </row>
    <row r="28" spans="1:15" x14ac:dyDescent="0.2">
      <c r="A28" s="5" t="s">
        <v>7</v>
      </c>
      <c r="B28" s="5"/>
      <c r="C28" s="5"/>
      <c r="D28" s="5"/>
      <c r="E28" s="5"/>
      <c r="F28" s="5"/>
      <c r="G28" s="5"/>
      <c r="H28" s="5"/>
      <c r="I28" s="6">
        <f>SUM(I11:I18)</f>
        <v>865726</v>
      </c>
    </row>
    <row r="29" spans="1:15" x14ac:dyDescent="0.2">
      <c r="I29" s="1"/>
    </row>
    <row r="30" spans="1:15" x14ac:dyDescent="0.2">
      <c r="I30" s="1"/>
    </row>
    <row r="31" spans="1:15" x14ac:dyDescent="0.2">
      <c r="A31" t="s">
        <v>71</v>
      </c>
      <c r="I31" s="1"/>
    </row>
    <row r="32" spans="1:15" x14ac:dyDescent="0.2">
      <c r="A32" s="3" t="s">
        <v>15</v>
      </c>
      <c r="B32" s="4"/>
      <c r="C32" s="4"/>
      <c r="D32" s="4"/>
      <c r="E32" s="4"/>
      <c r="F32" s="4"/>
      <c r="G32" s="4"/>
      <c r="H32" s="4"/>
    </row>
    <row r="33" spans="1:8" x14ac:dyDescent="0.2">
      <c r="B33" s="2" t="s">
        <v>8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  <c r="H33" s="2" t="s">
        <v>14</v>
      </c>
    </row>
    <row r="34" spans="1:8" x14ac:dyDescent="0.2">
      <c r="A34" t="s">
        <v>72</v>
      </c>
      <c r="B34" s="1">
        <v>122330</v>
      </c>
      <c r="C34" s="1">
        <v>112567</v>
      </c>
      <c r="D34" s="1">
        <v>112435</v>
      </c>
      <c r="E34" s="1">
        <v>112185</v>
      </c>
      <c r="F34" s="1">
        <v>112185</v>
      </c>
      <c r="G34" s="1">
        <v>88810</v>
      </c>
      <c r="H34" s="7">
        <f t="shared" ref="H34:H41" si="1">G34/B34</f>
        <v>0.72598708411673341</v>
      </c>
    </row>
    <row r="35" spans="1:8" x14ac:dyDescent="0.2">
      <c r="A35" t="s">
        <v>73</v>
      </c>
      <c r="B35" s="1">
        <v>133719</v>
      </c>
      <c r="C35" s="1">
        <v>122539</v>
      </c>
      <c r="D35" s="1">
        <v>122393</v>
      </c>
      <c r="E35" s="1">
        <v>121724</v>
      </c>
      <c r="F35" s="1">
        <v>121724</v>
      </c>
      <c r="G35" s="1">
        <v>114942</v>
      </c>
      <c r="H35" s="7">
        <f t="shared" si="1"/>
        <v>0.85957866870078303</v>
      </c>
    </row>
    <row r="36" spans="1:8" x14ac:dyDescent="0.2">
      <c r="A36" t="s">
        <v>74</v>
      </c>
      <c r="B36" s="1">
        <v>124696</v>
      </c>
      <c r="C36" s="1">
        <v>113879</v>
      </c>
      <c r="D36" s="1">
        <v>113769</v>
      </c>
      <c r="E36" s="1">
        <v>113550</v>
      </c>
      <c r="F36" s="1">
        <v>113550</v>
      </c>
      <c r="G36" s="1">
        <v>93461</v>
      </c>
      <c r="H36" s="7">
        <f t="shared" si="1"/>
        <v>0.74951081029062683</v>
      </c>
    </row>
    <row r="37" spans="1:8" x14ac:dyDescent="0.2">
      <c r="A37" t="s">
        <v>75</v>
      </c>
      <c r="B37" s="1">
        <v>111760</v>
      </c>
      <c r="C37" s="1">
        <v>103190</v>
      </c>
      <c r="D37" s="1">
        <v>103082</v>
      </c>
      <c r="E37" s="1">
        <v>102779</v>
      </c>
      <c r="F37" s="1">
        <v>102779</v>
      </c>
      <c r="G37" s="1">
        <v>81194</v>
      </c>
      <c r="H37" s="7">
        <f t="shared" si="1"/>
        <v>0.72650322118826061</v>
      </c>
    </row>
    <row r="38" spans="1:8" x14ac:dyDescent="0.2">
      <c r="A38" t="s">
        <v>76</v>
      </c>
      <c r="B38" s="1">
        <v>115662</v>
      </c>
      <c r="C38" s="1">
        <v>106285</v>
      </c>
      <c r="D38" s="1">
        <v>106215</v>
      </c>
      <c r="E38" s="1">
        <v>105833</v>
      </c>
      <c r="F38" s="1">
        <v>105833</v>
      </c>
      <c r="G38" s="1">
        <v>97547</v>
      </c>
      <c r="H38" s="7">
        <f t="shared" si="1"/>
        <v>0.84337984817831269</v>
      </c>
    </row>
    <row r="39" spans="1:8" x14ac:dyDescent="0.2">
      <c r="A39" t="s">
        <v>77</v>
      </c>
      <c r="B39" s="1">
        <v>118873</v>
      </c>
      <c r="C39" s="1">
        <v>109137</v>
      </c>
      <c r="D39" s="1">
        <v>109009</v>
      </c>
      <c r="E39" s="1">
        <v>108144</v>
      </c>
      <c r="F39" s="1">
        <v>108144</v>
      </c>
      <c r="G39" s="1">
        <v>102147</v>
      </c>
      <c r="H39" s="7">
        <f t="shared" si="1"/>
        <v>0.85929521422021826</v>
      </c>
    </row>
    <row r="40" spans="1:8" x14ac:dyDescent="0.2">
      <c r="A40" t="s">
        <v>78</v>
      </c>
      <c r="B40" s="1">
        <v>130689</v>
      </c>
      <c r="C40" s="1">
        <v>119664</v>
      </c>
      <c r="D40" s="1">
        <v>119597</v>
      </c>
      <c r="E40" s="1">
        <v>119001</v>
      </c>
      <c r="F40" s="1">
        <v>119001</v>
      </c>
      <c r="G40" s="1">
        <v>117057</v>
      </c>
      <c r="H40" s="7">
        <f t="shared" si="1"/>
        <v>0.89569129766085898</v>
      </c>
    </row>
    <row r="41" spans="1:8" x14ac:dyDescent="0.2">
      <c r="A41" t="s">
        <v>79</v>
      </c>
      <c r="B41" s="1">
        <v>75</v>
      </c>
      <c r="C41" s="1">
        <v>70</v>
      </c>
      <c r="D41" s="1">
        <v>70</v>
      </c>
      <c r="E41" s="1">
        <v>69</v>
      </c>
      <c r="F41" s="1">
        <v>69</v>
      </c>
      <c r="G41" s="1">
        <v>67</v>
      </c>
      <c r="H41" s="7">
        <f t="shared" si="1"/>
        <v>0.89333333333333331</v>
      </c>
    </row>
    <row r="42" spans="1:8" x14ac:dyDescent="0.2">
      <c r="B42" s="1"/>
      <c r="C42" s="1"/>
      <c r="D42" s="1"/>
      <c r="E42" s="1"/>
      <c r="F42" s="1"/>
      <c r="G42" s="1"/>
      <c r="H42" s="7"/>
    </row>
    <row r="43" spans="1:8" x14ac:dyDescent="0.2">
      <c r="A43" s="5" t="s">
        <v>7</v>
      </c>
      <c r="B43" s="6">
        <f t="shared" ref="B43:G43" si="2">SUM(B34:B41)</f>
        <v>857804</v>
      </c>
      <c r="C43" s="6">
        <f t="shared" si="2"/>
        <v>787331</v>
      </c>
      <c r="D43" s="6">
        <f t="shared" si="2"/>
        <v>786570</v>
      </c>
      <c r="E43" s="6">
        <f t="shared" si="2"/>
        <v>783285</v>
      </c>
      <c r="F43" s="6">
        <f t="shared" si="2"/>
        <v>783285</v>
      </c>
      <c r="G43" s="6">
        <f t="shared" si="2"/>
        <v>695225</v>
      </c>
      <c r="H43" s="8">
        <f>G43/B43</f>
        <v>0.81047069027423513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F0D0-12E8-B946-B739-ADA3F5C833D8}">
  <dimension ref="A1:P42"/>
  <sheetViews>
    <sheetView zoomScale="190" zoomScaleNormal="190" workbookViewId="0">
      <selection activeCell="G10" sqref="G10"/>
    </sheetView>
  </sheetViews>
  <sheetFormatPr baseColWidth="10" defaultRowHeight="16" x14ac:dyDescent="0.2"/>
  <cols>
    <col min="1" max="1" width="19.83203125" customWidth="1"/>
    <col min="11" max="11" width="10.83203125" customWidth="1"/>
  </cols>
  <sheetData>
    <row r="1" spans="1:9" x14ac:dyDescent="0.2">
      <c r="A1" s="2" t="s">
        <v>49</v>
      </c>
    </row>
    <row r="2" spans="1:9" x14ac:dyDescent="0.2">
      <c r="A2" s="2"/>
    </row>
    <row r="3" spans="1:9" x14ac:dyDescent="0.2">
      <c r="A3" s="3" t="s">
        <v>67</v>
      </c>
      <c r="B3" s="4"/>
      <c r="C3" s="4"/>
      <c r="D3" s="4"/>
    </row>
    <row r="4" spans="1:9" x14ac:dyDescent="0.2">
      <c r="A4" s="14" t="s">
        <v>69</v>
      </c>
      <c r="B4" s="14" t="s">
        <v>4</v>
      </c>
      <c r="C4" s="15"/>
      <c r="D4" s="15"/>
    </row>
    <row r="5" spans="1:9" x14ac:dyDescent="0.2">
      <c r="A5" s="16">
        <f>2157512/2</f>
        <v>1078756</v>
      </c>
      <c r="B5" s="17">
        <v>96.72</v>
      </c>
      <c r="C5" s="17"/>
      <c r="D5" s="17"/>
    </row>
    <row r="6" spans="1:9" x14ac:dyDescent="0.2">
      <c r="A6" s="2"/>
    </row>
    <row r="8" spans="1:9" x14ac:dyDescent="0.2">
      <c r="A8" t="s">
        <v>70</v>
      </c>
    </row>
    <row r="9" spans="1:9" x14ac:dyDescent="0.2">
      <c r="A9" s="3" t="s">
        <v>0</v>
      </c>
      <c r="B9" s="3" t="s">
        <v>1</v>
      </c>
      <c r="C9" s="3"/>
    </row>
    <row r="10" spans="1:9" x14ac:dyDescent="0.2">
      <c r="A10" s="2" t="s">
        <v>2</v>
      </c>
      <c r="B10" s="2" t="s">
        <v>3</v>
      </c>
      <c r="C10" s="2" t="s">
        <v>4</v>
      </c>
    </row>
    <row r="11" spans="1:9" x14ac:dyDescent="0.2">
      <c r="A11" t="s">
        <v>88</v>
      </c>
      <c r="B11" s="1">
        <v>95085</v>
      </c>
      <c r="C11">
        <v>96.91</v>
      </c>
      <c r="G11" s="1"/>
      <c r="H11" s="1"/>
      <c r="I11" s="1"/>
    </row>
    <row r="12" spans="1:9" x14ac:dyDescent="0.2">
      <c r="A12" t="s">
        <v>89</v>
      </c>
      <c r="B12" s="1">
        <v>92090</v>
      </c>
      <c r="C12">
        <v>97.01</v>
      </c>
      <c r="G12" s="1"/>
      <c r="H12" s="1"/>
      <c r="I12" s="1"/>
    </row>
    <row r="13" spans="1:9" x14ac:dyDescent="0.2">
      <c r="A13" t="s">
        <v>90</v>
      </c>
      <c r="B13" s="1">
        <v>91617</v>
      </c>
      <c r="C13">
        <v>96.95</v>
      </c>
      <c r="G13" s="1"/>
      <c r="H13" s="1"/>
      <c r="I13" s="1"/>
    </row>
    <row r="14" spans="1:9" x14ac:dyDescent="0.2">
      <c r="A14" t="s">
        <v>91</v>
      </c>
      <c r="B14" s="1">
        <v>89657</v>
      </c>
      <c r="C14">
        <v>96.95</v>
      </c>
      <c r="G14" s="1"/>
      <c r="H14" s="1"/>
      <c r="I14" s="1"/>
    </row>
    <row r="15" spans="1:9" x14ac:dyDescent="0.2">
      <c r="A15" t="s">
        <v>92</v>
      </c>
      <c r="B15" s="1">
        <v>86643</v>
      </c>
      <c r="C15">
        <v>97.26</v>
      </c>
      <c r="G15" s="1"/>
      <c r="H15" s="1"/>
      <c r="I15" s="1"/>
    </row>
    <row r="16" spans="1:9" x14ac:dyDescent="0.2">
      <c r="A16" t="s">
        <v>93</v>
      </c>
      <c r="B16" s="1">
        <v>95378</v>
      </c>
      <c r="C16">
        <v>96.72</v>
      </c>
      <c r="G16" s="1"/>
      <c r="H16" s="1"/>
      <c r="I16" s="1"/>
    </row>
    <row r="17" spans="1:16" x14ac:dyDescent="0.2">
      <c r="A17" t="s">
        <v>94</v>
      </c>
      <c r="B17" s="1">
        <v>103963</v>
      </c>
      <c r="C17">
        <v>96.87</v>
      </c>
      <c r="G17" s="1"/>
      <c r="H17" s="1"/>
      <c r="I17" s="1"/>
    </row>
    <row r="18" spans="1:16" x14ac:dyDescent="0.2">
      <c r="A18" t="s">
        <v>95</v>
      </c>
      <c r="B18" s="1">
        <v>147928</v>
      </c>
      <c r="C18">
        <v>96.8</v>
      </c>
      <c r="G18" s="1"/>
      <c r="H18" s="1"/>
      <c r="I18" s="1"/>
    </row>
    <row r="19" spans="1:16" x14ac:dyDescent="0.2">
      <c r="A19" t="s">
        <v>96</v>
      </c>
      <c r="B19" s="1">
        <v>135721</v>
      </c>
      <c r="C19">
        <v>94.89</v>
      </c>
      <c r="G19" s="1"/>
      <c r="H19" s="1"/>
    </row>
    <row r="20" spans="1:16" x14ac:dyDescent="0.2">
      <c r="A20" t="s">
        <v>97</v>
      </c>
      <c r="B20" s="1">
        <v>140664</v>
      </c>
      <c r="C20">
        <v>96.86</v>
      </c>
      <c r="G20" s="1"/>
      <c r="H20" s="1"/>
    </row>
    <row r="21" spans="1:16" x14ac:dyDescent="0.2">
      <c r="A21" t="s">
        <v>99</v>
      </c>
      <c r="B21">
        <v>0</v>
      </c>
      <c r="C21">
        <v>0</v>
      </c>
    </row>
    <row r="22" spans="1:16" x14ac:dyDescent="0.2">
      <c r="A22" t="s">
        <v>98</v>
      </c>
      <c r="B22">
        <v>10</v>
      </c>
      <c r="C22">
        <v>98.08</v>
      </c>
      <c r="H22" s="1"/>
    </row>
    <row r="24" spans="1:16" x14ac:dyDescent="0.2">
      <c r="A24" s="5" t="s">
        <v>7</v>
      </c>
      <c r="B24" s="6">
        <f>SUM(B11:B22)</f>
        <v>1078756</v>
      </c>
      <c r="C24" s="5"/>
      <c r="I24" s="1"/>
    </row>
    <row r="25" spans="1:16" x14ac:dyDescent="0.2">
      <c r="A25" s="2"/>
      <c r="B25" s="18"/>
      <c r="C25" s="2"/>
      <c r="I25" s="1"/>
    </row>
    <row r="26" spans="1:16" x14ac:dyDescent="0.2">
      <c r="I26" s="1"/>
      <c r="P26" s="1"/>
    </row>
    <row r="27" spans="1:16" x14ac:dyDescent="0.2">
      <c r="A27" t="s">
        <v>71</v>
      </c>
      <c r="I27" s="1"/>
    </row>
    <row r="28" spans="1:16" x14ac:dyDescent="0.2">
      <c r="A28" s="3" t="s">
        <v>15</v>
      </c>
      <c r="B28" s="4"/>
      <c r="C28" s="4"/>
      <c r="D28" s="4"/>
      <c r="E28" s="4"/>
      <c r="F28" s="4"/>
      <c r="G28" s="4"/>
      <c r="H28" s="4"/>
    </row>
    <row r="29" spans="1:16" x14ac:dyDescent="0.2">
      <c r="B29" s="2" t="s">
        <v>8</v>
      </c>
      <c r="C29" s="2" t="s">
        <v>9</v>
      </c>
      <c r="D29" s="2" t="s">
        <v>10</v>
      </c>
      <c r="E29" s="2" t="s">
        <v>11</v>
      </c>
      <c r="F29" s="2" t="s">
        <v>12</v>
      </c>
      <c r="G29" s="2" t="s">
        <v>13</v>
      </c>
      <c r="H29" s="2" t="s">
        <v>14</v>
      </c>
    </row>
    <row r="30" spans="1:16" x14ac:dyDescent="0.2">
      <c r="A30" t="s">
        <v>88</v>
      </c>
      <c r="B30" s="1">
        <v>93542</v>
      </c>
      <c r="C30" s="1">
        <v>91825</v>
      </c>
      <c r="D30" s="1">
        <v>91780</v>
      </c>
      <c r="E30" s="1">
        <v>90530</v>
      </c>
      <c r="F30" s="1">
        <v>90530</v>
      </c>
      <c r="G30" s="1">
        <v>82593</v>
      </c>
      <c r="H30" s="7">
        <f t="shared" ref="H30:H40" si="0">G30/B30</f>
        <v>0.88295097389407962</v>
      </c>
    </row>
    <row r="31" spans="1:16" x14ac:dyDescent="0.2">
      <c r="A31" t="s">
        <v>89</v>
      </c>
      <c r="B31" s="1">
        <v>90665</v>
      </c>
      <c r="C31" s="1">
        <v>88963</v>
      </c>
      <c r="D31" s="1">
        <v>88958</v>
      </c>
      <c r="E31" s="1">
        <v>88155</v>
      </c>
      <c r="F31" s="1">
        <v>88155</v>
      </c>
      <c r="G31" s="1">
        <v>85113</v>
      </c>
      <c r="H31" s="7">
        <f t="shared" si="0"/>
        <v>0.93876358021287154</v>
      </c>
    </row>
    <row r="32" spans="1:16" x14ac:dyDescent="0.2">
      <c r="A32" t="s">
        <v>90</v>
      </c>
      <c r="B32" s="1">
        <v>90010</v>
      </c>
      <c r="C32" s="1">
        <v>88172</v>
      </c>
      <c r="D32" s="1">
        <v>88155</v>
      </c>
      <c r="E32" s="1">
        <v>87056</v>
      </c>
      <c r="F32" s="1">
        <v>87056</v>
      </c>
      <c r="G32" s="1">
        <v>77730</v>
      </c>
      <c r="H32" s="7">
        <f t="shared" si="0"/>
        <v>0.8635707143650706</v>
      </c>
    </row>
    <row r="33" spans="1:8" x14ac:dyDescent="0.2">
      <c r="A33" t="s">
        <v>91</v>
      </c>
      <c r="B33" s="1">
        <v>88340</v>
      </c>
      <c r="C33" s="1">
        <v>86745</v>
      </c>
      <c r="D33" s="1">
        <v>86711</v>
      </c>
      <c r="E33" s="1">
        <v>85880</v>
      </c>
      <c r="F33" s="1">
        <v>85880</v>
      </c>
      <c r="G33" s="1">
        <v>82334</v>
      </c>
      <c r="H33" s="7">
        <f t="shared" si="0"/>
        <v>0.93201267828843104</v>
      </c>
    </row>
    <row r="34" spans="1:8" x14ac:dyDescent="0.2">
      <c r="A34" t="s">
        <v>92</v>
      </c>
      <c r="B34" s="1">
        <v>85666</v>
      </c>
      <c r="C34" s="1">
        <v>84417</v>
      </c>
      <c r="D34" s="1">
        <v>84381</v>
      </c>
      <c r="E34" s="1">
        <v>83979</v>
      </c>
      <c r="F34" s="1">
        <v>83979</v>
      </c>
      <c r="G34" s="1">
        <v>81757</v>
      </c>
      <c r="H34" s="7">
        <f t="shared" si="0"/>
        <v>0.9543692947026825</v>
      </c>
    </row>
    <row r="35" spans="1:8" x14ac:dyDescent="0.2">
      <c r="A35" t="s">
        <v>93</v>
      </c>
      <c r="B35" s="1">
        <v>93492</v>
      </c>
      <c r="C35" s="1">
        <v>91777</v>
      </c>
      <c r="D35" s="1">
        <v>91755</v>
      </c>
      <c r="E35" s="1">
        <v>90611</v>
      </c>
      <c r="F35" s="1">
        <v>90611</v>
      </c>
      <c r="G35" s="1">
        <v>72642</v>
      </c>
      <c r="H35" s="7">
        <f t="shared" si="0"/>
        <v>0.7769862662045951</v>
      </c>
    </row>
    <row r="36" spans="1:8" x14ac:dyDescent="0.2">
      <c r="A36" t="s">
        <v>94</v>
      </c>
      <c r="B36" s="1">
        <v>102365</v>
      </c>
      <c r="C36" s="1">
        <v>100480</v>
      </c>
      <c r="D36" s="1">
        <v>100461</v>
      </c>
      <c r="E36" s="1">
        <v>99744</v>
      </c>
      <c r="F36" s="1">
        <v>99744</v>
      </c>
      <c r="G36" s="1">
        <v>99277</v>
      </c>
      <c r="H36" s="7">
        <f t="shared" si="0"/>
        <v>0.96983343916377673</v>
      </c>
    </row>
    <row r="37" spans="1:8" x14ac:dyDescent="0.2">
      <c r="A37" t="s">
        <v>95</v>
      </c>
      <c r="B37" s="1">
        <v>146460</v>
      </c>
      <c r="C37" s="1">
        <v>143967</v>
      </c>
      <c r="D37" s="1">
        <v>143962</v>
      </c>
      <c r="E37" s="1">
        <v>143942</v>
      </c>
      <c r="F37" s="1">
        <v>143942</v>
      </c>
      <c r="G37" s="1">
        <v>143942</v>
      </c>
      <c r="H37" s="7">
        <f t="shared" si="0"/>
        <v>0.98280759251672811</v>
      </c>
    </row>
    <row r="38" spans="1:8" x14ac:dyDescent="0.2">
      <c r="A38" t="s">
        <v>96</v>
      </c>
      <c r="B38" s="1">
        <v>133987</v>
      </c>
      <c r="C38" s="1">
        <v>127050</v>
      </c>
      <c r="D38" s="1">
        <v>127037</v>
      </c>
      <c r="E38" s="1">
        <v>125509</v>
      </c>
      <c r="F38" s="1">
        <v>125509</v>
      </c>
      <c r="G38" s="1">
        <v>125508</v>
      </c>
      <c r="H38" s="7">
        <f t="shared" si="0"/>
        <v>0.93671774127340712</v>
      </c>
    </row>
    <row r="39" spans="1:8" x14ac:dyDescent="0.2">
      <c r="A39" t="s">
        <v>97</v>
      </c>
      <c r="B39" s="1">
        <v>139341</v>
      </c>
      <c r="C39" s="1">
        <v>137038</v>
      </c>
      <c r="D39" s="1">
        <v>137032</v>
      </c>
      <c r="E39" s="1">
        <v>137016</v>
      </c>
      <c r="F39" s="1">
        <v>137016</v>
      </c>
      <c r="G39" s="1">
        <v>136965</v>
      </c>
      <c r="H39" s="7">
        <f t="shared" si="0"/>
        <v>0.98294830667212096</v>
      </c>
    </row>
    <row r="40" spans="1:8" x14ac:dyDescent="0.2">
      <c r="A40" t="s">
        <v>98</v>
      </c>
      <c r="B40" s="1">
        <v>10</v>
      </c>
      <c r="C40" s="1">
        <v>10</v>
      </c>
      <c r="D40" s="1">
        <v>10</v>
      </c>
      <c r="E40" s="1">
        <v>10</v>
      </c>
      <c r="F40" s="1">
        <v>10</v>
      </c>
      <c r="G40" s="1">
        <v>10</v>
      </c>
      <c r="H40" s="7">
        <f t="shared" si="0"/>
        <v>1</v>
      </c>
    </row>
    <row r="41" spans="1:8" x14ac:dyDescent="0.2">
      <c r="B41" s="1"/>
      <c r="C41" s="1"/>
      <c r="D41" s="1"/>
      <c r="E41" s="1"/>
      <c r="F41" s="1"/>
      <c r="G41" s="1"/>
      <c r="H41" s="7"/>
    </row>
    <row r="42" spans="1:8" x14ac:dyDescent="0.2">
      <c r="A42" s="5" t="s">
        <v>7</v>
      </c>
      <c r="B42" s="6">
        <f t="shared" ref="B42:G42" si="1">SUM(B30:B40)</f>
        <v>1063878</v>
      </c>
      <c r="C42" s="6">
        <f t="shared" si="1"/>
        <v>1040444</v>
      </c>
      <c r="D42" s="6">
        <f t="shared" si="1"/>
        <v>1040242</v>
      </c>
      <c r="E42" s="6">
        <f t="shared" si="1"/>
        <v>1032432</v>
      </c>
      <c r="F42" s="6">
        <f t="shared" si="1"/>
        <v>1032432</v>
      </c>
      <c r="G42" s="6">
        <f t="shared" si="1"/>
        <v>987871</v>
      </c>
      <c r="H42" s="8">
        <f>G42/B42</f>
        <v>0.92855665781226793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E1A0-3EF8-4D4B-BB98-634F0D3EA7F5}">
  <dimension ref="A1:I41"/>
  <sheetViews>
    <sheetView zoomScale="190" zoomScaleNormal="190" workbookViewId="0">
      <selection activeCell="F20" sqref="F20"/>
    </sheetView>
  </sheetViews>
  <sheetFormatPr baseColWidth="10" defaultRowHeight="16" x14ac:dyDescent="0.2"/>
  <cols>
    <col min="1" max="1" width="19.83203125" customWidth="1"/>
  </cols>
  <sheetData>
    <row r="1" spans="1:9" x14ac:dyDescent="0.2">
      <c r="A1" s="2" t="s">
        <v>49</v>
      </c>
    </row>
    <row r="2" spans="1:9" x14ac:dyDescent="0.2">
      <c r="A2" s="2"/>
    </row>
    <row r="3" spans="1:9" x14ac:dyDescent="0.2">
      <c r="A3" s="3" t="s">
        <v>67</v>
      </c>
      <c r="B3" s="4"/>
      <c r="C3" s="4"/>
      <c r="D3" s="4"/>
    </row>
    <row r="4" spans="1:9" x14ac:dyDescent="0.2">
      <c r="A4" s="14" t="s">
        <v>69</v>
      </c>
      <c r="B4" s="14" t="s">
        <v>4</v>
      </c>
      <c r="C4" s="15"/>
      <c r="D4" s="15"/>
    </row>
    <row r="5" spans="1:9" x14ac:dyDescent="0.2">
      <c r="A5" s="16">
        <f>2655284/2</f>
        <v>1327642</v>
      </c>
      <c r="B5" s="17">
        <v>95.06</v>
      </c>
      <c r="C5" s="17"/>
      <c r="D5" s="17"/>
    </row>
    <row r="6" spans="1:9" x14ac:dyDescent="0.2">
      <c r="A6" s="2"/>
    </row>
    <row r="8" spans="1:9" x14ac:dyDescent="0.2">
      <c r="A8" t="s">
        <v>70</v>
      </c>
    </row>
    <row r="9" spans="1:9" x14ac:dyDescent="0.2">
      <c r="A9" s="3" t="s">
        <v>0</v>
      </c>
      <c r="B9" s="3" t="s">
        <v>1</v>
      </c>
      <c r="C9" s="3"/>
    </row>
    <row r="10" spans="1:9" x14ac:dyDescent="0.2">
      <c r="A10" s="2" t="s">
        <v>2</v>
      </c>
      <c r="B10" s="2" t="s">
        <v>3</v>
      </c>
      <c r="C10" s="2" t="s">
        <v>4</v>
      </c>
    </row>
    <row r="11" spans="1:9" x14ac:dyDescent="0.2">
      <c r="A11" t="s">
        <v>100</v>
      </c>
      <c r="B11" s="1">
        <v>150660</v>
      </c>
      <c r="C11">
        <v>94.38</v>
      </c>
      <c r="H11" s="1"/>
      <c r="I11" s="1"/>
    </row>
    <row r="12" spans="1:9" x14ac:dyDescent="0.2">
      <c r="A12" t="s">
        <v>101</v>
      </c>
      <c r="B12" s="1">
        <v>141305</v>
      </c>
      <c r="C12">
        <v>95.05</v>
      </c>
      <c r="H12" s="1"/>
      <c r="I12" s="1"/>
    </row>
    <row r="13" spans="1:9" x14ac:dyDescent="0.2">
      <c r="A13" t="s">
        <v>102</v>
      </c>
      <c r="B13" s="1">
        <v>178749</v>
      </c>
      <c r="C13">
        <v>94.55</v>
      </c>
      <c r="H13" s="1"/>
      <c r="I13" s="1"/>
    </row>
    <row r="14" spans="1:9" x14ac:dyDescent="0.2">
      <c r="A14" t="s">
        <v>103</v>
      </c>
      <c r="B14" s="1">
        <v>163730</v>
      </c>
      <c r="C14">
        <v>94.28</v>
      </c>
      <c r="H14" s="1"/>
      <c r="I14" s="1"/>
    </row>
    <row r="15" spans="1:9" x14ac:dyDescent="0.2">
      <c r="A15" t="s">
        <v>104</v>
      </c>
      <c r="B15" s="1">
        <v>151254</v>
      </c>
      <c r="C15">
        <v>94.44</v>
      </c>
      <c r="H15" s="1"/>
      <c r="I15" s="1"/>
    </row>
    <row r="16" spans="1:9" x14ac:dyDescent="0.2">
      <c r="A16" t="s">
        <v>105</v>
      </c>
      <c r="B16" s="1">
        <v>142963</v>
      </c>
      <c r="C16">
        <v>94.8</v>
      </c>
      <c r="H16" s="1"/>
      <c r="I16" s="1"/>
    </row>
    <row r="17" spans="1:9" x14ac:dyDescent="0.2">
      <c r="A17" t="s">
        <v>106</v>
      </c>
      <c r="B17" s="1">
        <v>135156</v>
      </c>
      <c r="C17">
        <v>94.38</v>
      </c>
      <c r="H17" s="1"/>
      <c r="I17" s="1"/>
    </row>
    <row r="18" spans="1:9" x14ac:dyDescent="0.2">
      <c r="A18" t="s">
        <v>107</v>
      </c>
      <c r="B18" s="1">
        <v>69258</v>
      </c>
      <c r="C18">
        <v>94.46</v>
      </c>
      <c r="H18" s="1"/>
      <c r="I18" s="1"/>
    </row>
    <row r="19" spans="1:9" x14ac:dyDescent="0.2">
      <c r="A19" t="s">
        <v>108</v>
      </c>
      <c r="B19" s="1">
        <v>88735</v>
      </c>
      <c r="C19">
        <v>94.45</v>
      </c>
      <c r="H19" s="1"/>
      <c r="I19" s="1"/>
    </row>
    <row r="20" spans="1:9" x14ac:dyDescent="0.2">
      <c r="A20" t="s">
        <v>109</v>
      </c>
      <c r="B20" s="1">
        <v>105744</v>
      </c>
      <c r="C20">
        <v>93.6</v>
      </c>
      <c r="H20" s="1"/>
      <c r="I20" s="1"/>
    </row>
    <row r="21" spans="1:9" x14ac:dyDescent="0.2">
      <c r="A21" t="s">
        <v>111</v>
      </c>
      <c r="B21">
        <v>0</v>
      </c>
      <c r="C21" t="s">
        <v>32</v>
      </c>
      <c r="H21" s="1"/>
      <c r="I21" s="1"/>
    </row>
    <row r="22" spans="1:9" x14ac:dyDescent="0.2">
      <c r="A22" t="s">
        <v>110</v>
      </c>
      <c r="B22">
        <v>88</v>
      </c>
      <c r="C22">
        <v>96.15</v>
      </c>
    </row>
    <row r="23" spans="1:9" x14ac:dyDescent="0.2">
      <c r="I23" s="1"/>
    </row>
    <row r="24" spans="1:9" x14ac:dyDescent="0.2">
      <c r="A24" s="5" t="s">
        <v>7</v>
      </c>
      <c r="B24" s="6">
        <f>SUM(B11:B22)</f>
        <v>1327642</v>
      </c>
      <c r="C24" s="5">
        <v>95.06</v>
      </c>
    </row>
    <row r="25" spans="1:9" x14ac:dyDescent="0.2">
      <c r="I25" s="1"/>
    </row>
    <row r="26" spans="1:9" x14ac:dyDescent="0.2">
      <c r="I26" s="1"/>
    </row>
    <row r="27" spans="1:9" x14ac:dyDescent="0.2">
      <c r="A27" s="3" t="s">
        <v>15</v>
      </c>
      <c r="B27" s="4"/>
      <c r="C27" s="4"/>
      <c r="D27" s="4"/>
      <c r="E27" s="4"/>
      <c r="F27" s="4"/>
      <c r="G27" s="4"/>
      <c r="H27" s="4"/>
    </row>
    <row r="28" spans="1:9" x14ac:dyDescent="0.2">
      <c r="B28" s="2" t="s">
        <v>8</v>
      </c>
      <c r="C28" s="2" t="s">
        <v>9</v>
      </c>
      <c r="D28" s="2" t="s">
        <v>10</v>
      </c>
      <c r="E28" s="2" t="s">
        <v>11</v>
      </c>
      <c r="F28" s="2" t="s">
        <v>12</v>
      </c>
      <c r="G28" s="2" t="s">
        <v>13</v>
      </c>
      <c r="H28" s="2" t="s">
        <v>14</v>
      </c>
    </row>
    <row r="29" spans="1:9" x14ac:dyDescent="0.2">
      <c r="A29" t="s">
        <v>100</v>
      </c>
      <c r="B29" s="1">
        <v>148038</v>
      </c>
      <c r="C29" s="1">
        <v>147714</v>
      </c>
      <c r="D29" s="1">
        <v>147675</v>
      </c>
      <c r="E29" s="1">
        <v>146044</v>
      </c>
      <c r="F29" s="1">
        <v>146044</v>
      </c>
      <c r="G29" s="1">
        <v>136056</v>
      </c>
      <c r="H29" s="7">
        <f t="shared" ref="H29:H39" si="0">G29/B29</f>
        <v>0.91906132209297609</v>
      </c>
    </row>
    <row r="30" spans="1:9" x14ac:dyDescent="0.2">
      <c r="A30" t="s">
        <v>101</v>
      </c>
      <c r="B30" s="1">
        <v>139023</v>
      </c>
      <c r="C30" s="1">
        <v>138779</v>
      </c>
      <c r="D30" s="1">
        <v>138709</v>
      </c>
      <c r="E30" s="1">
        <v>137709</v>
      </c>
      <c r="F30" s="1">
        <v>137709</v>
      </c>
      <c r="G30" s="1">
        <v>135185</v>
      </c>
      <c r="H30" s="7">
        <f t="shared" si="0"/>
        <v>0.97239305726390601</v>
      </c>
    </row>
    <row r="31" spans="1:9" x14ac:dyDescent="0.2">
      <c r="A31" t="s">
        <v>102</v>
      </c>
      <c r="B31" s="1">
        <v>175464</v>
      </c>
      <c r="C31" s="1">
        <v>175121</v>
      </c>
      <c r="D31" s="1">
        <v>175091</v>
      </c>
      <c r="E31" s="1">
        <v>173253</v>
      </c>
      <c r="F31" s="1">
        <v>173253</v>
      </c>
      <c r="G31" s="1">
        <v>162119</v>
      </c>
      <c r="H31" s="7">
        <f t="shared" si="0"/>
        <v>0.9239445128345416</v>
      </c>
    </row>
    <row r="32" spans="1:9" x14ac:dyDescent="0.2">
      <c r="A32" t="s">
        <v>103</v>
      </c>
      <c r="B32" s="1">
        <v>160892</v>
      </c>
      <c r="C32" s="1">
        <v>160556</v>
      </c>
      <c r="D32" s="1">
        <v>160459</v>
      </c>
      <c r="E32" s="1">
        <v>158952</v>
      </c>
      <c r="F32" s="1">
        <v>158952</v>
      </c>
      <c r="G32" s="1">
        <v>150381</v>
      </c>
      <c r="H32" s="7">
        <f t="shared" si="0"/>
        <v>0.93467046217338334</v>
      </c>
    </row>
    <row r="33" spans="1:8" x14ac:dyDescent="0.2">
      <c r="A33" t="s">
        <v>104</v>
      </c>
      <c r="B33" s="1">
        <v>149033</v>
      </c>
      <c r="C33" s="1">
        <v>148683</v>
      </c>
      <c r="D33" s="1">
        <v>148594</v>
      </c>
      <c r="E33" s="1">
        <v>147632</v>
      </c>
      <c r="F33" s="1">
        <v>147632</v>
      </c>
      <c r="G33" s="1">
        <v>141934</v>
      </c>
      <c r="H33" s="7">
        <f t="shared" si="0"/>
        <v>0.95236625445371159</v>
      </c>
    </row>
    <row r="34" spans="1:8" x14ac:dyDescent="0.2">
      <c r="A34" t="s">
        <v>105</v>
      </c>
      <c r="B34" s="1">
        <v>140289</v>
      </c>
      <c r="C34" s="1">
        <v>140040</v>
      </c>
      <c r="D34" s="1">
        <v>139955</v>
      </c>
      <c r="E34" s="1">
        <v>137886</v>
      </c>
      <c r="F34" s="1">
        <v>137886</v>
      </c>
      <c r="G34" s="1">
        <v>136159</v>
      </c>
      <c r="H34" s="7">
        <f t="shared" si="0"/>
        <v>0.97056077097990578</v>
      </c>
    </row>
    <row r="35" spans="1:8" x14ac:dyDescent="0.2">
      <c r="A35" t="s">
        <v>106</v>
      </c>
      <c r="B35" s="1">
        <v>132682</v>
      </c>
      <c r="C35" s="1">
        <v>132472</v>
      </c>
      <c r="D35" s="1">
        <v>132295</v>
      </c>
      <c r="E35" s="1">
        <v>129993</v>
      </c>
      <c r="F35" s="1">
        <v>129993</v>
      </c>
      <c r="G35" s="1">
        <v>125403</v>
      </c>
      <c r="H35" s="7">
        <f t="shared" si="0"/>
        <v>0.94513950648919975</v>
      </c>
    </row>
    <row r="36" spans="1:8" x14ac:dyDescent="0.2">
      <c r="A36" t="s">
        <v>107</v>
      </c>
      <c r="B36" s="1">
        <v>68008</v>
      </c>
      <c r="C36" s="1">
        <v>67896</v>
      </c>
      <c r="D36" s="1">
        <v>67804</v>
      </c>
      <c r="E36" s="1">
        <v>65019</v>
      </c>
      <c r="F36" s="1">
        <v>65019</v>
      </c>
      <c r="G36" s="1">
        <v>62500</v>
      </c>
      <c r="H36" s="7">
        <f t="shared" si="0"/>
        <v>0.9190095282907893</v>
      </c>
    </row>
    <row r="37" spans="1:8" x14ac:dyDescent="0.2">
      <c r="A37" t="s">
        <v>108</v>
      </c>
      <c r="B37" s="1">
        <v>87260</v>
      </c>
      <c r="C37" s="1">
        <v>87127</v>
      </c>
      <c r="D37" s="1">
        <v>86980</v>
      </c>
      <c r="E37" s="1">
        <v>84950</v>
      </c>
      <c r="F37" s="1">
        <v>84950</v>
      </c>
      <c r="G37" s="1">
        <v>82360</v>
      </c>
      <c r="H37" s="7">
        <f t="shared" si="0"/>
        <v>0.94384597753839106</v>
      </c>
    </row>
    <row r="38" spans="1:8" x14ac:dyDescent="0.2">
      <c r="A38" t="s">
        <v>109</v>
      </c>
      <c r="B38" s="1">
        <v>104069</v>
      </c>
      <c r="C38" s="1">
        <v>103875</v>
      </c>
      <c r="D38" s="1">
        <v>103637</v>
      </c>
      <c r="E38" s="1">
        <v>99811</v>
      </c>
      <c r="F38" s="1">
        <v>99811</v>
      </c>
      <c r="G38" s="1">
        <v>92927</v>
      </c>
      <c r="H38" s="7">
        <f t="shared" si="0"/>
        <v>0.89293641718475247</v>
      </c>
    </row>
    <row r="39" spans="1:8" x14ac:dyDescent="0.2">
      <c r="A39" t="s">
        <v>110</v>
      </c>
      <c r="B39" s="1">
        <v>87</v>
      </c>
      <c r="C39" s="1">
        <v>87</v>
      </c>
      <c r="D39" s="1">
        <v>87</v>
      </c>
      <c r="E39" s="1">
        <v>87</v>
      </c>
      <c r="F39" s="1">
        <v>87</v>
      </c>
      <c r="G39" s="1">
        <v>87</v>
      </c>
      <c r="H39" s="7">
        <f t="shared" si="0"/>
        <v>1</v>
      </c>
    </row>
    <row r="40" spans="1:8" x14ac:dyDescent="0.2">
      <c r="B40" s="1"/>
      <c r="C40" s="1"/>
      <c r="D40" s="1"/>
      <c r="E40" s="1"/>
      <c r="F40" s="1"/>
      <c r="G40" s="1"/>
      <c r="H40" s="7"/>
    </row>
    <row r="41" spans="1:8" x14ac:dyDescent="0.2">
      <c r="A41" s="5" t="s">
        <v>7</v>
      </c>
      <c r="B41" s="6">
        <f>SUM(B29:B39)</f>
        <v>1304845</v>
      </c>
      <c r="C41" s="6">
        <f t="shared" ref="C41:G41" si="1">SUM(C29:C39)</f>
        <v>1302350</v>
      </c>
      <c r="D41" s="6">
        <f t="shared" si="1"/>
        <v>1301286</v>
      </c>
      <c r="E41" s="6">
        <f t="shared" si="1"/>
        <v>1281336</v>
      </c>
      <c r="F41" s="6">
        <f t="shared" si="1"/>
        <v>1281336</v>
      </c>
      <c r="G41" s="6">
        <f t="shared" si="1"/>
        <v>1225111</v>
      </c>
      <c r="H41" s="8">
        <f>G41/B41</f>
        <v>0.93889389161164738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stat</vt:lpstr>
      <vt:lpstr>Cet1_Mu31F</vt:lpstr>
      <vt:lpstr>Cet2_Dc671F</vt:lpstr>
      <vt:lpstr>Cet3_Mu2084F</vt:lpstr>
      <vt:lpstr>Cet4_Mu9459F</vt:lpstr>
      <vt:lpstr>Cet5_MiMammal</vt:lpstr>
      <vt:lpstr>Cet6_Ceto2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Masayuki USHIO</dc:creator>
  <cp:lastModifiedBy>Masayuki USHIO</cp:lastModifiedBy>
  <dcterms:created xsi:type="dcterms:W3CDTF">2025-02-04T02:26:48Z</dcterms:created>
  <dcterms:modified xsi:type="dcterms:W3CDTF">2025-07-12T01:21:36Z</dcterms:modified>
</cp:coreProperties>
</file>