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hio/Work/Result/AllResult/2023_CeteDNApro/00_uCeta_Github/03_FigCode/data_table/"/>
    </mc:Choice>
  </mc:AlternateContent>
  <xr:revisionPtr revIDLastSave="0" documentId="13_ncr:1_{E00A4A74-D5E4-B24B-9C11-EAB25C389AEE}" xr6:coauthVersionLast="47" xr6:coauthVersionMax="47" xr10:uidLastSave="{00000000-0000-0000-0000-000000000000}"/>
  <bookViews>
    <workbookView xWindow="840" yWindow="760" windowWidth="29400" windowHeight="18880" xr2:uid="{263DF946-B3B2-0F4C-9006-C0C970EC5AEB}"/>
  </bookViews>
  <sheets>
    <sheet name="Table 1" sheetId="3" r:id="rId1"/>
    <sheet name="Table 2" sheetId="7" r:id="rId2"/>
    <sheet name="S1 Mammal list" sheetId="6" r:id="rId3"/>
    <sheet name="S2 Primers" sheetId="1" r:id="rId4"/>
    <sheet name="S3 Queries" sheetId="5" r:id="rId5"/>
    <sheet name="S4 Pool list" sheetId="8" r:id="rId6"/>
    <sheet name="S5 Primers for Illumina" sheetId="9" r:id="rId7"/>
    <sheet name="S6 Seq Stat" sheetId="10" r:id="rId8"/>
    <sheet name="S7 Track1" sheetId="11" r:id="rId9"/>
    <sheet name="S8 Track2" sheetId="12" r:id="rId10"/>
    <sheet name="S9 Track3" sheetId="13" r:id="rId11"/>
    <sheet name="S10 Track4" sheetId="14" r:id="rId12"/>
    <sheet name="S11 Track5" sheetId="15" r:id="rId13"/>
    <sheet name="S12 Track6" sheetId="16" r:id="rId14"/>
    <sheet name="S13 Track7" sheetId="17" r:id="rId15"/>
    <sheet name="S14 ASV matrix1" sheetId="18" r:id="rId16"/>
    <sheet name="S15 ASV matrix2" sheetId="19" r:id="rId17"/>
    <sheet name="S16 ASV matrix3" sheetId="20" r:id="rId18"/>
    <sheet name="S17 ASV matrix4" sheetId="21" r:id="rId19"/>
    <sheet name="S18 ASV matrix5" sheetId="22" r:id="rId20"/>
    <sheet name="S19 ASV matrix6" sheetId="23" r:id="rId21"/>
    <sheet name="S20 OTU matrix nat" sheetId="24" r:id="rId22"/>
  </sheets>
  <definedNames>
    <definedName name="_xlnm._FilterDatabase" localSheetId="1" hidden="1">'Table 2'!$A$3:$N$3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4" l="1"/>
  <c r="G7" i="24"/>
  <c r="G8" i="24"/>
  <c r="G9" i="24"/>
  <c r="G10" i="24"/>
  <c r="G11" i="24"/>
  <c r="G12" i="24"/>
  <c r="G13" i="24"/>
  <c r="G15" i="24"/>
  <c r="H15" i="24"/>
  <c r="G6" i="23"/>
  <c r="G7" i="23"/>
  <c r="G8" i="23"/>
  <c r="G19" i="23" s="1"/>
  <c r="G9" i="23"/>
  <c r="G10" i="23"/>
  <c r="G11" i="23"/>
  <c r="G12" i="23"/>
  <c r="G13" i="23"/>
  <c r="G14" i="23"/>
  <c r="G15" i="23"/>
  <c r="G16" i="23"/>
  <c r="G17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W19" i="23"/>
  <c r="X19" i="23"/>
  <c r="Y19" i="23"/>
  <c r="Z19" i="23"/>
  <c r="AA19" i="23"/>
  <c r="AB19" i="23"/>
  <c r="AC19" i="23"/>
  <c r="AD19" i="23"/>
  <c r="AE19" i="23"/>
  <c r="AF19" i="23"/>
  <c r="AG19" i="23"/>
  <c r="AH19" i="23"/>
  <c r="AI19" i="23"/>
  <c r="AJ19" i="23"/>
  <c r="AK19" i="23"/>
  <c r="AL19" i="23"/>
  <c r="AM19" i="23"/>
  <c r="AN19" i="23"/>
  <c r="AO19" i="23"/>
  <c r="AP19" i="23"/>
  <c r="AQ19" i="23"/>
  <c r="AR19" i="23"/>
  <c r="AS19" i="23"/>
  <c r="AT19" i="23"/>
  <c r="AU19" i="23"/>
  <c r="AV19" i="23"/>
  <c r="AW19" i="23"/>
  <c r="AX19" i="23"/>
  <c r="AY19" i="23"/>
  <c r="AZ19" i="23"/>
  <c r="BA19" i="23"/>
  <c r="BB19" i="23"/>
  <c r="BC19" i="23"/>
  <c r="BD19" i="23"/>
  <c r="BE19" i="23"/>
  <c r="BF19" i="23"/>
  <c r="BG19" i="23"/>
  <c r="BH19" i="23"/>
  <c r="BI19" i="23"/>
  <c r="BJ19" i="23"/>
  <c r="BK19" i="23"/>
  <c r="BL19" i="23"/>
  <c r="BM19" i="23"/>
  <c r="BN19" i="23"/>
  <c r="BO19" i="23"/>
  <c r="BP19" i="23"/>
  <c r="BQ19" i="23"/>
  <c r="BR19" i="23"/>
  <c r="BS19" i="23"/>
  <c r="BT19" i="23"/>
  <c r="BU19" i="23"/>
  <c r="BV19" i="23"/>
  <c r="BW19" i="23"/>
  <c r="BX19" i="23"/>
  <c r="BY19" i="23"/>
  <c r="BZ19" i="23"/>
  <c r="CA19" i="23"/>
  <c r="CB19" i="23"/>
  <c r="CC19" i="23"/>
  <c r="CD19" i="23"/>
  <c r="CE19" i="23"/>
  <c r="CF19" i="23"/>
  <c r="CG19" i="23"/>
  <c r="CH19" i="23"/>
  <c r="CI19" i="23"/>
  <c r="CJ19" i="23"/>
  <c r="CK19" i="23"/>
  <c r="CL19" i="23"/>
  <c r="CM19" i="23"/>
  <c r="CN19" i="23"/>
  <c r="CO19" i="23"/>
  <c r="CP19" i="23"/>
  <c r="CQ19" i="23"/>
  <c r="CR19" i="23"/>
  <c r="CS19" i="23"/>
  <c r="CT19" i="23"/>
  <c r="CU19" i="23"/>
  <c r="CV19" i="23"/>
  <c r="CW19" i="23"/>
  <c r="CX19" i="23"/>
  <c r="CY19" i="23"/>
  <c r="CZ19" i="23"/>
  <c r="DA19" i="23"/>
  <c r="DB19" i="23"/>
  <c r="DC19" i="23"/>
  <c r="DD19" i="23"/>
  <c r="DE19" i="23"/>
  <c r="DF19" i="23"/>
  <c r="DG19" i="23"/>
  <c r="DH19" i="23"/>
  <c r="DI19" i="23"/>
  <c r="DJ19" i="23"/>
  <c r="DK19" i="23"/>
  <c r="DL19" i="23"/>
  <c r="DM19" i="23"/>
  <c r="DN19" i="23"/>
  <c r="DO19" i="23"/>
  <c r="DP19" i="23"/>
  <c r="DQ19" i="23"/>
  <c r="DR19" i="23"/>
  <c r="DS19" i="23"/>
  <c r="DT19" i="23"/>
  <c r="DU19" i="23"/>
  <c r="DV19" i="23"/>
  <c r="DW19" i="23"/>
  <c r="DX19" i="23"/>
  <c r="DY19" i="23"/>
  <c r="DZ19" i="23"/>
  <c r="EA19" i="23"/>
  <c r="EB19" i="23"/>
  <c r="EC19" i="23"/>
  <c r="ED19" i="23"/>
  <c r="EE19" i="23"/>
  <c r="EF19" i="23"/>
  <c r="EG19" i="23"/>
  <c r="EH19" i="23"/>
  <c r="EI19" i="23"/>
  <c r="EJ19" i="23"/>
  <c r="EK19" i="23"/>
  <c r="EL19" i="23"/>
  <c r="EM19" i="23"/>
  <c r="EN19" i="23"/>
  <c r="EO19" i="23"/>
  <c r="EP19" i="23"/>
  <c r="EQ19" i="23"/>
  <c r="ER19" i="23"/>
  <c r="ES19" i="23"/>
  <c r="ET19" i="23"/>
  <c r="EU19" i="23"/>
  <c r="EV19" i="23"/>
  <c r="EW19" i="23"/>
  <c r="EX19" i="23"/>
  <c r="EY19" i="23"/>
  <c r="EZ19" i="23"/>
  <c r="FA19" i="23"/>
  <c r="FB19" i="23"/>
  <c r="FC19" i="23"/>
  <c r="FD19" i="23"/>
  <c r="FE19" i="23"/>
  <c r="FF19" i="23"/>
  <c r="FG19" i="23"/>
  <c r="FH19" i="23"/>
  <c r="FI19" i="23"/>
  <c r="FJ19" i="23"/>
  <c r="FK19" i="23"/>
  <c r="FL19" i="23"/>
  <c r="FM19" i="23"/>
  <c r="FN19" i="23"/>
  <c r="FO19" i="23"/>
  <c r="FP19" i="23"/>
  <c r="FQ19" i="23"/>
  <c r="FR19" i="23"/>
  <c r="FS19" i="23"/>
  <c r="FT19" i="23"/>
  <c r="FU19" i="23"/>
  <c r="FV19" i="23"/>
  <c r="FW19" i="23"/>
  <c r="FX19" i="23"/>
  <c r="FY19" i="23"/>
  <c r="FZ19" i="23"/>
  <c r="GA19" i="23"/>
  <c r="GB19" i="23"/>
  <c r="GC19" i="23"/>
  <c r="GD19" i="23"/>
  <c r="GE19" i="23"/>
  <c r="GF19" i="23"/>
  <c r="GG19" i="23"/>
  <c r="GH19" i="23"/>
  <c r="GI19" i="23"/>
  <c r="GJ19" i="23"/>
  <c r="GK19" i="23"/>
  <c r="GL19" i="23"/>
  <c r="GM19" i="23"/>
  <c r="GN19" i="23"/>
  <c r="GO19" i="23"/>
  <c r="GP19" i="23"/>
  <c r="GQ19" i="23"/>
  <c r="GR19" i="23"/>
  <c r="GS19" i="23"/>
  <c r="GT19" i="23"/>
  <c r="GU19" i="23"/>
  <c r="GV19" i="23"/>
  <c r="GW19" i="23"/>
  <c r="GX19" i="23"/>
  <c r="GY19" i="23"/>
  <c r="GZ19" i="23"/>
  <c r="HA19" i="23"/>
  <c r="HB19" i="23"/>
  <c r="HC19" i="23"/>
  <c r="HD19" i="23"/>
  <c r="HE19" i="23"/>
  <c r="HF19" i="23"/>
  <c r="HG19" i="23"/>
  <c r="HH19" i="23"/>
  <c r="HI19" i="23"/>
  <c r="HJ19" i="23"/>
  <c r="HK19" i="23"/>
  <c r="HL19" i="23"/>
  <c r="HM19" i="23"/>
  <c r="HN19" i="23"/>
  <c r="HO19" i="23"/>
  <c r="HP19" i="23"/>
  <c r="HQ19" i="23"/>
  <c r="HR19" i="23"/>
  <c r="HS19" i="23"/>
  <c r="HT19" i="23"/>
  <c r="HU19" i="23"/>
  <c r="HV19" i="23"/>
  <c r="HW19" i="23"/>
  <c r="HX19" i="23"/>
  <c r="HY19" i="23"/>
  <c r="HZ19" i="23"/>
  <c r="IA19" i="23"/>
  <c r="IB19" i="23"/>
  <c r="IC19" i="23"/>
  <c r="ID19" i="23"/>
  <c r="IE19" i="23"/>
  <c r="IF19" i="23"/>
  <c r="IG19" i="23"/>
  <c r="IH19" i="23"/>
  <c r="II19" i="23"/>
  <c r="IJ19" i="23"/>
  <c r="IK19" i="23"/>
  <c r="IL19" i="23"/>
  <c r="IM19" i="23"/>
  <c r="IN19" i="23"/>
  <c r="IO19" i="23"/>
  <c r="IP19" i="23"/>
  <c r="IQ19" i="23"/>
  <c r="IR19" i="23"/>
  <c r="IS19" i="23"/>
  <c r="IT19" i="23"/>
  <c r="IU19" i="23"/>
  <c r="IV19" i="23"/>
  <c r="IW19" i="23"/>
  <c r="IX19" i="23"/>
  <c r="IY19" i="23"/>
  <c r="IZ19" i="23"/>
  <c r="JA19" i="23"/>
  <c r="JB19" i="23"/>
  <c r="JC19" i="23"/>
  <c r="JD19" i="23"/>
  <c r="JE19" i="23"/>
  <c r="JF19" i="23"/>
  <c r="JG19" i="23"/>
  <c r="JH19" i="23"/>
  <c r="JI19" i="23"/>
  <c r="JJ19" i="23"/>
  <c r="JK19" i="23"/>
  <c r="JL19" i="23"/>
  <c r="JM19" i="23"/>
  <c r="JN19" i="23"/>
  <c r="JO19" i="23"/>
  <c r="JP19" i="23"/>
  <c r="JQ19" i="23"/>
  <c r="JR19" i="23"/>
  <c r="JS19" i="23"/>
  <c r="JT19" i="23"/>
  <c r="JU19" i="23"/>
  <c r="JV19" i="23"/>
  <c r="JW19" i="23"/>
  <c r="JX19" i="23"/>
  <c r="JY19" i="23"/>
  <c r="JZ19" i="23"/>
  <c r="KA19" i="23"/>
  <c r="KB19" i="23"/>
  <c r="KC19" i="23"/>
  <c r="KD19" i="23"/>
  <c r="KE19" i="23"/>
  <c r="KF19" i="23"/>
  <c r="KG19" i="23"/>
  <c r="KH19" i="23"/>
  <c r="KI19" i="23"/>
  <c r="KJ19" i="23"/>
  <c r="KK19" i="23"/>
  <c r="KL19" i="23"/>
  <c r="KM19" i="23"/>
  <c r="KN19" i="23"/>
  <c r="KO19" i="23"/>
  <c r="KP19" i="23"/>
  <c r="KQ19" i="23"/>
  <c r="KR19" i="23"/>
  <c r="KS19" i="23"/>
  <c r="KT19" i="23"/>
  <c r="KU19" i="23"/>
  <c r="KV19" i="23"/>
  <c r="KW19" i="23"/>
  <c r="KX19" i="23"/>
  <c r="KY19" i="23"/>
  <c r="KZ19" i="23"/>
  <c r="LA19" i="23"/>
  <c r="LB19" i="23"/>
  <c r="LC19" i="23"/>
  <c r="LD19" i="23"/>
  <c r="LE19" i="23"/>
  <c r="LF19" i="23"/>
  <c r="LG19" i="23"/>
  <c r="LH19" i="23"/>
  <c r="LI19" i="23"/>
  <c r="LJ19" i="23"/>
  <c r="LK19" i="23"/>
  <c r="LL19" i="23"/>
  <c r="LM19" i="23"/>
  <c r="LN19" i="23"/>
  <c r="LO19" i="23"/>
  <c r="LP19" i="23"/>
  <c r="LQ19" i="23"/>
  <c r="LR19" i="23"/>
  <c r="LS19" i="23"/>
  <c r="LT19" i="23"/>
  <c r="LU19" i="23"/>
  <c r="LV19" i="23"/>
  <c r="LW19" i="23"/>
  <c r="LX19" i="23"/>
  <c r="LY19" i="23"/>
  <c r="LZ19" i="23"/>
  <c r="MA19" i="23"/>
  <c r="MB19" i="23"/>
  <c r="MC19" i="23"/>
  <c r="MD19" i="23"/>
  <c r="ME19" i="23"/>
  <c r="MF19" i="23"/>
  <c r="MG19" i="23"/>
  <c r="MH19" i="23"/>
  <c r="MI19" i="23"/>
  <c r="MJ19" i="23"/>
  <c r="MK19" i="23"/>
  <c r="ML19" i="23"/>
  <c r="MM19" i="23"/>
  <c r="MN19" i="23"/>
  <c r="MO19" i="23"/>
  <c r="MP19" i="23"/>
  <c r="MQ19" i="23"/>
  <c r="MR19" i="23"/>
  <c r="MS19" i="23"/>
  <c r="MT19" i="23"/>
  <c r="MU19" i="23"/>
  <c r="MV19" i="23"/>
  <c r="MW19" i="23"/>
  <c r="MX19" i="23"/>
  <c r="MY19" i="23"/>
  <c r="MZ19" i="23"/>
  <c r="NA19" i="23"/>
  <c r="NB19" i="23"/>
  <c r="NC19" i="23"/>
  <c r="ND19" i="23"/>
  <c r="NE19" i="23"/>
  <c r="NF19" i="23"/>
  <c r="NG19" i="23"/>
  <c r="NH19" i="23"/>
  <c r="NI19" i="23"/>
  <c r="NJ19" i="23"/>
  <c r="NK19" i="23"/>
  <c r="NL19" i="23"/>
  <c r="NM19" i="23"/>
  <c r="NN19" i="23"/>
  <c r="NO19" i="23"/>
  <c r="NP19" i="23"/>
  <c r="NQ19" i="23"/>
  <c r="NR19" i="23"/>
  <c r="NS19" i="23"/>
  <c r="NT19" i="23"/>
  <c r="NU19" i="23"/>
  <c r="NV19" i="23"/>
  <c r="NW19" i="23"/>
  <c r="NX19" i="23"/>
  <c r="NY19" i="23"/>
  <c r="NZ19" i="23"/>
  <c r="OA19" i="23"/>
  <c r="OB19" i="23"/>
  <c r="OC19" i="23"/>
  <c r="OD19" i="23"/>
  <c r="OE19" i="23"/>
  <c r="OF19" i="23"/>
  <c r="OG19" i="23"/>
  <c r="OH19" i="23"/>
  <c r="OI19" i="23"/>
  <c r="OJ19" i="23"/>
  <c r="OK19" i="23"/>
  <c r="OL19" i="23"/>
  <c r="OM19" i="23"/>
  <c r="ON19" i="23"/>
  <c r="OO19" i="23"/>
  <c r="OP19" i="23"/>
  <c r="OQ19" i="23"/>
  <c r="OR19" i="23"/>
  <c r="OS19" i="23"/>
  <c r="OT19" i="23"/>
  <c r="OU19" i="23"/>
  <c r="OV19" i="23"/>
  <c r="OW19" i="23"/>
  <c r="OX19" i="23"/>
  <c r="OY19" i="23"/>
  <c r="OZ19" i="23"/>
  <c r="PA19" i="23"/>
  <c r="PB19" i="23"/>
  <c r="PC19" i="23"/>
  <c r="PD19" i="23"/>
  <c r="PE19" i="23"/>
  <c r="PF19" i="23"/>
  <c r="PG19" i="23"/>
  <c r="PH19" i="23"/>
  <c r="PI19" i="23"/>
  <c r="PJ19" i="23"/>
  <c r="PK19" i="23"/>
  <c r="PL19" i="23"/>
  <c r="PM19" i="23"/>
  <c r="PN19" i="23"/>
  <c r="PO19" i="23"/>
  <c r="PP19" i="23"/>
  <c r="PQ19" i="23"/>
  <c r="PR19" i="23"/>
  <c r="PS19" i="23"/>
  <c r="PT19" i="23"/>
  <c r="PU19" i="23"/>
  <c r="PV19" i="23"/>
  <c r="PW19" i="23"/>
  <c r="PX19" i="23"/>
  <c r="PY19" i="23"/>
  <c r="PZ19" i="23"/>
  <c r="QA19" i="23"/>
  <c r="QB19" i="23"/>
  <c r="QC19" i="23"/>
  <c r="QD19" i="23"/>
  <c r="QE19" i="23"/>
  <c r="QF19" i="23"/>
  <c r="QG19" i="23"/>
  <c r="QH19" i="23"/>
  <c r="QI19" i="23"/>
  <c r="QJ19" i="23"/>
  <c r="QK19" i="23"/>
  <c r="QL19" i="23"/>
  <c r="QM19" i="23"/>
  <c r="QN19" i="23"/>
  <c r="QO19" i="23"/>
  <c r="QP19" i="23"/>
  <c r="QQ19" i="23"/>
  <c r="QR19" i="23"/>
  <c r="QS19" i="23"/>
  <c r="QT19" i="23"/>
  <c r="QU19" i="23"/>
  <c r="QV19" i="23"/>
  <c r="QW19" i="23"/>
  <c r="QX19" i="23"/>
  <c r="QY19" i="23"/>
  <c r="QZ19" i="23"/>
  <c r="RA19" i="23"/>
  <c r="RB19" i="23"/>
  <c r="RC19" i="23"/>
  <c r="RD19" i="23"/>
  <c r="RE19" i="23"/>
  <c r="RF19" i="23"/>
  <c r="RG19" i="23"/>
  <c r="RH19" i="23"/>
  <c r="RI19" i="23"/>
  <c r="RJ19" i="23"/>
  <c r="RK19" i="23"/>
  <c r="RL19" i="23"/>
  <c r="RM19" i="23"/>
  <c r="RN19" i="23"/>
  <c r="RO19" i="23"/>
  <c r="RP19" i="23"/>
  <c r="RQ19" i="23"/>
  <c r="RR19" i="23"/>
  <c r="RS19" i="23"/>
  <c r="RT19" i="23"/>
  <c r="RU19" i="23"/>
  <c r="RV19" i="23"/>
  <c r="RW19" i="23"/>
  <c r="RX19" i="23"/>
  <c r="RY19" i="23"/>
  <c r="RZ19" i="23"/>
  <c r="SA19" i="23"/>
  <c r="SB19" i="23"/>
  <c r="SC19" i="23"/>
  <c r="SD19" i="23"/>
  <c r="SE19" i="23"/>
  <c r="SF19" i="23"/>
  <c r="SG19" i="23"/>
  <c r="SH19" i="23"/>
  <c r="SI19" i="23"/>
  <c r="SJ19" i="23"/>
  <c r="SK19" i="23"/>
  <c r="SL19" i="23"/>
  <c r="SM19" i="23"/>
  <c r="SN19" i="23"/>
  <c r="SO19" i="23"/>
  <c r="SP19" i="23"/>
  <c r="SQ19" i="23"/>
  <c r="SR19" i="23"/>
  <c r="SS19" i="23"/>
  <c r="ST19" i="23"/>
  <c r="SU19" i="23"/>
  <c r="SV19" i="23"/>
  <c r="SW19" i="23"/>
  <c r="SX19" i="23"/>
  <c r="SY19" i="23"/>
  <c r="SZ19" i="23"/>
  <c r="TA19" i="23"/>
  <c r="TB19" i="23"/>
  <c r="TC19" i="23"/>
  <c r="TD19" i="23"/>
  <c r="TE19" i="23"/>
  <c r="TF19" i="23"/>
  <c r="TG19" i="23"/>
  <c r="TH19" i="23"/>
  <c r="TI19" i="23"/>
  <c r="TJ19" i="23"/>
  <c r="TK19" i="23"/>
  <c r="TL19" i="23"/>
  <c r="TM19" i="23"/>
  <c r="TN19" i="23"/>
  <c r="TO19" i="23"/>
  <c r="TP19" i="23"/>
  <c r="TQ19" i="23"/>
  <c r="TR19" i="23"/>
  <c r="TS19" i="23"/>
  <c r="TT19" i="23"/>
  <c r="TU19" i="23"/>
  <c r="TV19" i="23"/>
  <c r="TW19" i="23"/>
  <c r="TX19" i="23"/>
  <c r="TY19" i="23"/>
  <c r="TZ19" i="23"/>
  <c r="UA19" i="23"/>
  <c r="UB19" i="23"/>
  <c r="UC19" i="23"/>
  <c r="UD19" i="23"/>
  <c r="UE19" i="23"/>
  <c r="UF19" i="23"/>
  <c r="UG19" i="23"/>
  <c r="UH19" i="23"/>
  <c r="UI19" i="23"/>
  <c r="UJ19" i="23"/>
  <c r="UK19" i="23"/>
  <c r="UL19" i="23"/>
  <c r="UM19" i="23"/>
  <c r="UN19" i="23"/>
  <c r="UO19" i="23"/>
  <c r="UP19" i="23"/>
  <c r="UQ19" i="23"/>
  <c r="UR19" i="23"/>
  <c r="US19" i="23"/>
  <c r="UT19" i="23"/>
  <c r="UU19" i="23"/>
  <c r="UV19" i="23"/>
  <c r="UW19" i="23"/>
  <c r="UX19" i="23"/>
  <c r="UY19" i="23"/>
  <c r="UZ19" i="23"/>
  <c r="VA19" i="23"/>
  <c r="VB19" i="23"/>
  <c r="VC19" i="23"/>
  <c r="VD19" i="23"/>
  <c r="VE19" i="23"/>
  <c r="VF19" i="23"/>
  <c r="VG19" i="23"/>
  <c r="VH19" i="23"/>
  <c r="VI19" i="23"/>
  <c r="VJ19" i="23"/>
  <c r="VK19" i="23"/>
  <c r="VL19" i="23"/>
  <c r="VM19" i="23"/>
  <c r="VN19" i="23"/>
  <c r="VO19" i="23"/>
  <c r="VP19" i="23"/>
  <c r="VQ19" i="23"/>
  <c r="VR19" i="23"/>
  <c r="VS19" i="23"/>
  <c r="VT19" i="23"/>
  <c r="VU19" i="23"/>
  <c r="VV19" i="23"/>
  <c r="VW19" i="23"/>
  <c r="VX19" i="23"/>
  <c r="VY19" i="23"/>
  <c r="VZ19" i="23"/>
  <c r="WA19" i="23"/>
  <c r="WB19" i="23"/>
  <c r="WC19" i="23"/>
  <c r="WD19" i="23"/>
  <c r="WE19" i="23"/>
  <c r="WF19" i="23"/>
  <c r="WG19" i="23"/>
  <c r="WH19" i="23"/>
  <c r="WI19" i="23"/>
  <c r="WJ19" i="23"/>
  <c r="WK19" i="23"/>
  <c r="WL19" i="23"/>
  <c r="WM19" i="23"/>
  <c r="WN19" i="23"/>
  <c r="WO19" i="23"/>
  <c r="WP19" i="23"/>
  <c r="WQ19" i="23"/>
  <c r="WR19" i="23"/>
  <c r="WS19" i="23"/>
  <c r="WT19" i="23"/>
  <c r="WU19" i="23"/>
  <c r="WV19" i="23"/>
  <c r="WW19" i="23"/>
  <c r="WX19" i="23"/>
  <c r="WY19" i="23"/>
  <c r="WZ19" i="23"/>
  <c r="XA19" i="23"/>
  <c r="XB19" i="23"/>
  <c r="XC19" i="23"/>
  <c r="XD19" i="23"/>
  <c r="XE19" i="23"/>
  <c r="XF19" i="23"/>
  <c r="XG19" i="23"/>
  <c r="XH19" i="23"/>
  <c r="XI19" i="23"/>
  <c r="XJ19" i="23"/>
  <c r="XK19" i="23"/>
  <c r="XL19" i="23"/>
  <c r="XM19" i="23"/>
  <c r="XN19" i="23"/>
  <c r="XO19" i="23"/>
  <c r="XP19" i="23"/>
  <c r="XQ19" i="23"/>
  <c r="XR19" i="23"/>
  <c r="XS19" i="23"/>
  <c r="XT19" i="23"/>
  <c r="XU19" i="23"/>
  <c r="XV19" i="23"/>
  <c r="XW19" i="23"/>
  <c r="XX19" i="23"/>
  <c r="XY19" i="23"/>
  <c r="XZ19" i="23"/>
  <c r="YA19" i="23"/>
  <c r="YB19" i="23"/>
  <c r="YC19" i="23"/>
  <c r="YD19" i="23"/>
  <c r="YE19" i="23"/>
  <c r="YF19" i="23"/>
  <c r="YG19" i="23"/>
  <c r="YH19" i="23"/>
  <c r="YI19" i="23"/>
  <c r="YJ19" i="23"/>
  <c r="YK19" i="23"/>
  <c r="YL19" i="23"/>
  <c r="YM19" i="23"/>
  <c r="YN19" i="23"/>
  <c r="YO19" i="23"/>
  <c r="YP19" i="23"/>
  <c r="YQ19" i="23"/>
  <c r="YR19" i="23"/>
  <c r="YS19" i="23"/>
  <c r="YT19" i="23"/>
  <c r="YU19" i="23"/>
  <c r="YV19" i="23"/>
  <c r="YW19" i="23"/>
  <c r="YX19" i="23"/>
  <c r="YY19" i="23"/>
  <c r="YZ19" i="23"/>
  <c r="ZA19" i="23"/>
  <c r="ZB19" i="23"/>
  <c r="ZC19" i="23"/>
  <c r="ZD19" i="23"/>
  <c r="ZE19" i="23"/>
  <c r="ZF19" i="23"/>
  <c r="ZG19" i="23"/>
  <c r="ZH19" i="23"/>
  <c r="ZI19" i="23"/>
  <c r="ZJ19" i="23"/>
  <c r="ZK19" i="23"/>
  <c r="ZL19" i="23"/>
  <c r="ZM19" i="23"/>
  <c r="ZN19" i="23"/>
  <c r="ZO19" i="23"/>
  <c r="ZP19" i="23"/>
  <c r="ZQ19" i="23"/>
  <c r="ZR19" i="23"/>
  <c r="ZS19" i="23"/>
  <c r="ZT19" i="23"/>
  <c r="ZU19" i="23"/>
  <c r="ZV19" i="23"/>
  <c r="ZW19" i="23"/>
  <c r="ZX19" i="23"/>
  <c r="ZY19" i="23"/>
  <c r="ZZ19" i="23"/>
  <c r="AAA19" i="23"/>
  <c r="AAB19" i="23"/>
  <c r="AAC19" i="23"/>
  <c r="AAD19" i="23"/>
  <c r="AAE19" i="23"/>
  <c r="AAF19" i="23"/>
  <c r="AAG19" i="23"/>
  <c r="AAH19" i="23"/>
  <c r="AAI19" i="23"/>
  <c r="AAJ19" i="23"/>
  <c r="AAK19" i="23"/>
  <c r="AAL19" i="23"/>
  <c r="AAM19" i="23"/>
  <c r="AAN19" i="23"/>
  <c r="AAO19" i="23"/>
  <c r="AAP19" i="23"/>
  <c r="AAQ19" i="23"/>
  <c r="AAR19" i="23"/>
  <c r="AAS19" i="23"/>
  <c r="AAT19" i="23"/>
  <c r="AAU19" i="23"/>
  <c r="AAV19" i="23"/>
  <c r="AAW19" i="23"/>
  <c r="AAX19" i="23"/>
  <c r="AAY19" i="23"/>
  <c r="AAZ19" i="23"/>
  <c r="ABA19" i="23"/>
  <c r="ABB19" i="23"/>
  <c r="ABC19" i="23"/>
  <c r="ABD19" i="23"/>
  <c r="ABE19" i="23"/>
  <c r="ABF19" i="23"/>
  <c r="ABG19" i="23"/>
  <c r="ABH19" i="23"/>
  <c r="ABI19" i="23"/>
  <c r="ABJ19" i="23"/>
  <c r="ABK19" i="23"/>
  <c r="ABL19" i="23"/>
  <c r="ABM19" i="23"/>
  <c r="ABN19" i="23"/>
  <c r="ABO19" i="23"/>
  <c r="ABP19" i="23"/>
  <c r="ABQ19" i="23"/>
  <c r="ABR19" i="23"/>
  <c r="ABS19" i="23"/>
  <c r="ABT19" i="23"/>
  <c r="ABU19" i="23"/>
  <c r="ABV19" i="23"/>
  <c r="ABW19" i="23"/>
  <c r="ABX19" i="23"/>
  <c r="ABY19" i="23"/>
  <c r="ABZ19" i="23"/>
  <c r="ACA19" i="23"/>
  <c r="ACB19" i="23"/>
  <c r="ACC19" i="23"/>
  <c r="G6" i="22"/>
  <c r="G7" i="22"/>
  <c r="G8" i="22"/>
  <c r="G9" i="22"/>
  <c r="G19" i="22" s="1"/>
  <c r="G10" i="22"/>
  <c r="G11" i="22"/>
  <c r="G12" i="22"/>
  <c r="G13" i="22"/>
  <c r="G14" i="22"/>
  <c r="G15" i="22"/>
  <c r="G16" i="22"/>
  <c r="G17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AA19" i="22"/>
  <c r="AB19" i="22"/>
  <c r="AC19" i="22"/>
  <c r="AD19" i="22"/>
  <c r="AE19" i="22"/>
  <c r="AF19" i="22"/>
  <c r="AG19" i="22"/>
  <c r="AH19" i="22"/>
  <c r="AI19" i="22"/>
  <c r="AJ19" i="22"/>
  <c r="AK19" i="22"/>
  <c r="AL19" i="22"/>
  <c r="AM19" i="22"/>
  <c r="AN19" i="22"/>
  <c r="AO19" i="22"/>
  <c r="AP19" i="22"/>
  <c r="AQ19" i="22"/>
  <c r="AR19" i="22"/>
  <c r="AS19" i="22"/>
  <c r="AT19" i="22"/>
  <c r="AU19" i="22"/>
  <c r="AV19" i="22"/>
  <c r="AW19" i="22"/>
  <c r="AX19" i="22"/>
  <c r="AY19" i="22"/>
  <c r="AZ19" i="22"/>
  <c r="BA19" i="22"/>
  <c r="BB19" i="22"/>
  <c r="BC19" i="22"/>
  <c r="BD19" i="22"/>
  <c r="BE19" i="22"/>
  <c r="BF19" i="22"/>
  <c r="BG19" i="22"/>
  <c r="BH19" i="22"/>
  <c r="BI19" i="22"/>
  <c r="BJ19" i="22"/>
  <c r="BK19" i="22"/>
  <c r="BL19" i="22"/>
  <c r="BM19" i="22"/>
  <c r="BN19" i="22"/>
  <c r="BO19" i="22"/>
  <c r="BP19" i="22"/>
  <c r="BQ19" i="22"/>
  <c r="BR19" i="22"/>
  <c r="BS19" i="22"/>
  <c r="BT19" i="22"/>
  <c r="BU19" i="22"/>
  <c r="BV19" i="22"/>
  <c r="BW19" i="22"/>
  <c r="BX19" i="22"/>
  <c r="BY19" i="22"/>
  <c r="BZ19" i="22"/>
  <c r="CA19" i="22"/>
  <c r="CB19" i="22"/>
  <c r="CC19" i="22"/>
  <c r="CD19" i="22"/>
  <c r="CE19" i="22"/>
  <c r="CF19" i="22"/>
  <c r="CG19" i="22"/>
  <c r="CH19" i="22"/>
  <c r="CI19" i="22"/>
  <c r="CJ19" i="22"/>
  <c r="CK19" i="22"/>
  <c r="CL19" i="22"/>
  <c r="CM19" i="22"/>
  <c r="CN19" i="22"/>
  <c r="CO19" i="22"/>
  <c r="CP19" i="22"/>
  <c r="CQ19" i="22"/>
  <c r="CR19" i="22"/>
  <c r="CS19" i="22"/>
  <c r="CT19" i="22"/>
  <c r="CU19" i="22"/>
  <c r="CV19" i="22"/>
  <c r="CW19" i="22"/>
  <c r="CX19" i="22"/>
  <c r="CY19" i="22"/>
  <c r="CZ19" i="22"/>
  <c r="DA19" i="22"/>
  <c r="DB19" i="22"/>
  <c r="DC19" i="22"/>
  <c r="DD19" i="22"/>
  <c r="DE19" i="22"/>
  <c r="DF19" i="22"/>
  <c r="DG19" i="22"/>
  <c r="DH19" i="22"/>
  <c r="DI19" i="22"/>
  <c r="DJ19" i="22"/>
  <c r="G6" i="21"/>
  <c r="G7" i="21"/>
  <c r="G8" i="21"/>
  <c r="G9" i="21"/>
  <c r="G10" i="21"/>
  <c r="G11" i="21"/>
  <c r="G12" i="21"/>
  <c r="G23" i="21" s="1"/>
  <c r="G13" i="21"/>
  <c r="G14" i="21"/>
  <c r="G15" i="21"/>
  <c r="G16" i="21"/>
  <c r="G17" i="21"/>
  <c r="G18" i="21"/>
  <c r="G19" i="21"/>
  <c r="G20" i="21"/>
  <c r="G21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K23" i="21"/>
  <c r="AL23" i="21"/>
  <c r="AM23" i="21"/>
  <c r="AN23" i="21"/>
  <c r="AO23" i="21"/>
  <c r="AP23" i="21"/>
  <c r="AQ23" i="21"/>
  <c r="AR23" i="21"/>
  <c r="AS23" i="21"/>
  <c r="AT23" i="21"/>
  <c r="AU23" i="21"/>
  <c r="AV23" i="21"/>
  <c r="AW23" i="21"/>
  <c r="AX23" i="21"/>
  <c r="AY23" i="21"/>
  <c r="AZ23" i="21"/>
  <c r="BA23" i="21"/>
  <c r="BB23" i="21"/>
  <c r="BC23" i="21"/>
  <c r="BD23" i="21"/>
  <c r="BE23" i="21"/>
  <c r="BF23" i="21"/>
  <c r="BG23" i="21"/>
  <c r="BH23" i="21"/>
  <c r="BI23" i="21"/>
  <c r="BJ23" i="21"/>
  <c r="BK23" i="21"/>
  <c r="BL23" i="21"/>
  <c r="BM23" i="21"/>
  <c r="BN23" i="21"/>
  <c r="BO23" i="21"/>
  <c r="BP23" i="21"/>
  <c r="BQ23" i="21"/>
  <c r="BR23" i="21"/>
  <c r="BS23" i="21"/>
  <c r="BT23" i="21"/>
  <c r="BU23" i="21"/>
  <c r="BV23" i="21"/>
  <c r="BW23" i="21"/>
  <c r="BX23" i="21"/>
  <c r="BY23" i="21"/>
  <c r="BZ23" i="21"/>
  <c r="CA23" i="21"/>
  <c r="CB23" i="21"/>
  <c r="CC23" i="21"/>
  <c r="CD23" i="21"/>
  <c r="CE23" i="21"/>
  <c r="CF23" i="21"/>
  <c r="CG23" i="21"/>
  <c r="CH23" i="21"/>
  <c r="CI23" i="21"/>
  <c r="CJ23" i="21"/>
  <c r="CK23" i="21"/>
  <c r="CL23" i="21"/>
  <c r="G6" i="20"/>
  <c r="G7" i="20"/>
  <c r="G8" i="20"/>
  <c r="G9" i="20"/>
  <c r="G10" i="20"/>
  <c r="G11" i="20"/>
  <c r="G12" i="20"/>
  <c r="G23" i="20" s="1"/>
  <c r="G13" i="20"/>
  <c r="G14" i="20"/>
  <c r="G15" i="20"/>
  <c r="G16" i="20"/>
  <c r="G17" i="20"/>
  <c r="G18" i="20"/>
  <c r="G19" i="20"/>
  <c r="G20" i="20"/>
  <c r="G21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G23" i="20"/>
  <c r="AH23" i="20"/>
  <c r="AI23" i="20"/>
  <c r="AJ23" i="20"/>
  <c r="AK23" i="20"/>
  <c r="AL23" i="20"/>
  <c r="AM23" i="20"/>
  <c r="AN23" i="20"/>
  <c r="AO23" i="20"/>
  <c r="AP23" i="20"/>
  <c r="AQ23" i="20"/>
  <c r="AR23" i="20"/>
  <c r="AS23" i="20"/>
  <c r="AT23" i="20"/>
  <c r="AU23" i="20"/>
  <c r="AV23" i="20"/>
  <c r="AW23" i="20"/>
  <c r="AX23" i="20"/>
  <c r="AY23" i="20"/>
  <c r="AZ23" i="20"/>
  <c r="BA23" i="20"/>
  <c r="BB23" i="20"/>
  <c r="BC23" i="20"/>
  <c r="BD23" i="20"/>
  <c r="BE23" i="20"/>
  <c r="BF23" i="20"/>
  <c r="BG23" i="20"/>
  <c r="BH23" i="20"/>
  <c r="BI23" i="20"/>
  <c r="BJ23" i="20"/>
  <c r="BK23" i="20"/>
  <c r="BL23" i="20"/>
  <c r="BM23" i="20"/>
  <c r="BN23" i="20"/>
  <c r="BO23" i="20"/>
  <c r="BP23" i="20"/>
  <c r="BQ23" i="20"/>
  <c r="BR23" i="20"/>
  <c r="BS23" i="20"/>
  <c r="BT23" i="20"/>
  <c r="BU23" i="20"/>
  <c r="BV23" i="20"/>
  <c r="BW23" i="20"/>
  <c r="BX23" i="20"/>
  <c r="BY23" i="20"/>
  <c r="BZ23" i="20"/>
  <c r="CA23" i="20"/>
  <c r="CB23" i="20"/>
  <c r="CC23" i="20"/>
  <c r="CD23" i="20"/>
  <c r="CE23" i="20"/>
  <c r="CF23" i="20"/>
  <c r="CG23" i="20"/>
  <c r="CH23" i="20"/>
  <c r="CI23" i="20"/>
  <c r="CJ23" i="20"/>
  <c r="CK23" i="20"/>
  <c r="CL23" i="20"/>
  <c r="CM23" i="20"/>
  <c r="CN23" i="20"/>
  <c r="CO23" i="20"/>
  <c r="CP23" i="20"/>
  <c r="CQ23" i="20"/>
  <c r="CR23" i="20"/>
  <c r="CS23" i="20"/>
  <c r="CT23" i="20"/>
  <c r="CU23" i="20"/>
  <c r="CV23" i="20"/>
  <c r="CW23" i="20"/>
  <c r="CX23" i="20"/>
  <c r="CY23" i="20"/>
  <c r="CZ23" i="20"/>
  <c r="DA23" i="20"/>
  <c r="DB23" i="20"/>
  <c r="DC23" i="20"/>
  <c r="DD23" i="20"/>
  <c r="DE23" i="20"/>
  <c r="DF23" i="20"/>
  <c r="DG23" i="20"/>
  <c r="DH23" i="20"/>
  <c r="DI23" i="20"/>
  <c r="DJ23" i="20"/>
  <c r="DK23" i="20"/>
  <c r="DL23" i="20"/>
  <c r="DM23" i="20"/>
  <c r="DN23" i="20"/>
  <c r="DO23" i="20"/>
  <c r="DP23" i="20"/>
  <c r="DQ23" i="20"/>
  <c r="DR23" i="20"/>
  <c r="DS23" i="20"/>
  <c r="DT23" i="20"/>
  <c r="DU23" i="20"/>
  <c r="DV23" i="20"/>
  <c r="DW23" i="20"/>
  <c r="DX23" i="20"/>
  <c r="DY23" i="20"/>
  <c r="DZ23" i="20"/>
  <c r="EA23" i="20"/>
  <c r="EB23" i="20"/>
  <c r="EC23" i="20"/>
  <c r="ED23" i="20"/>
  <c r="EE23" i="20"/>
  <c r="EF23" i="20"/>
  <c r="EG23" i="20"/>
  <c r="EH23" i="20"/>
  <c r="EI23" i="20"/>
  <c r="EJ23" i="20"/>
  <c r="EK23" i="20"/>
  <c r="EL23" i="20"/>
  <c r="EM23" i="20"/>
  <c r="EN23" i="20"/>
  <c r="EO23" i="20"/>
  <c r="EP23" i="20"/>
  <c r="EQ23" i="20"/>
  <c r="ER23" i="20"/>
  <c r="ES23" i="20"/>
  <c r="ET23" i="20"/>
  <c r="EU23" i="20"/>
  <c r="EV23" i="20"/>
  <c r="EW23" i="20"/>
  <c r="EX23" i="20"/>
  <c r="EY23" i="20"/>
  <c r="EZ23" i="20"/>
  <c r="FA23" i="20"/>
  <c r="FB23" i="20"/>
  <c r="FC23" i="20"/>
  <c r="FD23" i="20"/>
  <c r="FE23" i="20"/>
  <c r="FF23" i="20"/>
  <c r="FG23" i="20"/>
  <c r="FH23" i="20"/>
  <c r="FI23" i="20"/>
  <c r="FJ23" i="20"/>
  <c r="FK23" i="20"/>
  <c r="FL23" i="20"/>
  <c r="FM23" i="20"/>
  <c r="FN23" i="20"/>
  <c r="FO23" i="20"/>
  <c r="FP23" i="20"/>
  <c r="FQ23" i="20"/>
  <c r="FR23" i="20"/>
  <c r="FS23" i="20"/>
  <c r="FT23" i="20"/>
  <c r="FU23" i="20"/>
  <c r="FV23" i="20"/>
  <c r="FW23" i="20"/>
  <c r="FX23" i="20"/>
  <c r="FY23" i="20"/>
  <c r="FZ23" i="20"/>
  <c r="GA23" i="20"/>
  <c r="GB23" i="20"/>
  <c r="GC23" i="20"/>
  <c r="GD23" i="20"/>
  <c r="GE23" i="20"/>
  <c r="GF23" i="20"/>
  <c r="GG23" i="20"/>
  <c r="GH23" i="20"/>
  <c r="GI23" i="20"/>
  <c r="GJ23" i="20"/>
  <c r="GK23" i="20"/>
  <c r="GL23" i="20"/>
  <c r="GM23" i="20"/>
  <c r="GN23" i="20"/>
  <c r="GO23" i="20"/>
  <c r="GP23" i="20"/>
  <c r="GQ23" i="20"/>
  <c r="GR23" i="20"/>
  <c r="GS23" i="20"/>
  <c r="GT23" i="20"/>
  <c r="GU23" i="20"/>
  <c r="GV23" i="20"/>
  <c r="GW23" i="20"/>
  <c r="GX23" i="20"/>
  <c r="GY23" i="20"/>
  <c r="GZ23" i="20"/>
  <c r="HA23" i="20"/>
  <c r="HB23" i="20"/>
  <c r="HC23" i="20"/>
  <c r="HD23" i="20"/>
  <c r="HE23" i="20"/>
  <c r="HF23" i="20"/>
  <c r="HG23" i="20"/>
  <c r="HH23" i="20"/>
  <c r="HI23" i="20"/>
  <c r="HJ23" i="20"/>
  <c r="HK23" i="20"/>
  <c r="HL23" i="20"/>
  <c r="HM23" i="20"/>
  <c r="HN23" i="20"/>
  <c r="HO23" i="20"/>
  <c r="HP23" i="20"/>
  <c r="HQ23" i="20"/>
  <c r="HR23" i="20"/>
  <c r="HS23" i="20"/>
  <c r="HT23" i="20"/>
  <c r="HU23" i="20"/>
  <c r="HV23" i="20"/>
  <c r="HW23" i="20"/>
  <c r="HX23" i="20"/>
  <c r="HY23" i="20"/>
  <c r="HZ23" i="20"/>
  <c r="IA23" i="20"/>
  <c r="IB23" i="20"/>
  <c r="IC23" i="20"/>
  <c r="ID23" i="20"/>
  <c r="IE23" i="20"/>
  <c r="IF23" i="20"/>
  <c r="G6" i="19"/>
  <c r="G7" i="19"/>
  <c r="G8" i="19"/>
  <c r="G9" i="19"/>
  <c r="G10" i="19"/>
  <c r="G11" i="19"/>
  <c r="G12" i="19"/>
  <c r="G23" i="19" s="1"/>
  <c r="G13" i="19"/>
  <c r="G14" i="19"/>
  <c r="G15" i="19"/>
  <c r="G16" i="19"/>
  <c r="G17" i="19"/>
  <c r="G18" i="19"/>
  <c r="G19" i="19"/>
  <c r="G20" i="19"/>
  <c r="G21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AK23" i="19"/>
  <c r="AL23" i="19"/>
  <c r="AM23" i="19"/>
  <c r="AN23" i="19"/>
  <c r="AO23" i="19"/>
  <c r="AP23" i="19"/>
  <c r="AQ23" i="19"/>
  <c r="AR23" i="19"/>
  <c r="AS23" i="19"/>
  <c r="AT23" i="19"/>
  <c r="AU23" i="19"/>
  <c r="AV23" i="19"/>
  <c r="AW23" i="19"/>
  <c r="AX23" i="19"/>
  <c r="AY23" i="19"/>
  <c r="AZ23" i="19"/>
  <c r="BA23" i="19"/>
  <c r="BB23" i="19"/>
  <c r="BC23" i="19"/>
  <c r="BD23" i="19"/>
  <c r="BE23" i="19"/>
  <c r="BF23" i="19"/>
  <c r="BG23" i="19"/>
  <c r="BH23" i="19"/>
  <c r="BI23" i="19"/>
  <c r="BJ23" i="19"/>
  <c r="BK23" i="19"/>
  <c r="BL23" i="19"/>
  <c r="BM23" i="19"/>
  <c r="BN23" i="19"/>
  <c r="BO23" i="19"/>
  <c r="BP23" i="19"/>
  <c r="BQ23" i="19"/>
  <c r="BR23" i="19"/>
  <c r="BS23" i="19"/>
  <c r="BT23" i="19"/>
  <c r="BU23" i="19"/>
  <c r="BV23" i="19"/>
  <c r="BW23" i="19"/>
  <c r="BX23" i="19"/>
  <c r="BY23" i="19"/>
  <c r="BZ23" i="19"/>
  <c r="CA23" i="19"/>
  <c r="CB23" i="19"/>
  <c r="CC23" i="19"/>
  <c r="CD23" i="19"/>
  <c r="CE23" i="19"/>
  <c r="CF23" i="19"/>
  <c r="CG23" i="19"/>
  <c r="CH23" i="19"/>
  <c r="CI23" i="19"/>
  <c r="CJ23" i="19"/>
  <c r="CK23" i="19"/>
  <c r="CL23" i="19"/>
  <c r="CM23" i="19"/>
  <c r="CN23" i="19"/>
  <c r="CO23" i="19"/>
  <c r="CP23" i="19"/>
  <c r="CQ23" i="19"/>
  <c r="CR23" i="19"/>
  <c r="CS23" i="19"/>
  <c r="CT23" i="19"/>
  <c r="CU23" i="19"/>
  <c r="CV23" i="19"/>
  <c r="CW23" i="19"/>
  <c r="CX23" i="19"/>
  <c r="CY23" i="19"/>
  <c r="CZ23" i="19"/>
  <c r="DA23" i="19"/>
  <c r="DB23" i="19"/>
  <c r="DC23" i="19"/>
  <c r="DD23" i="19"/>
  <c r="DE23" i="19"/>
  <c r="DF23" i="19"/>
  <c r="DG23" i="19"/>
  <c r="DH23" i="19"/>
  <c r="DI23" i="19"/>
  <c r="DJ23" i="19"/>
  <c r="G6" i="18"/>
  <c r="G7" i="18"/>
  <c r="G8" i="18"/>
  <c r="G9" i="18"/>
  <c r="G10" i="18"/>
  <c r="G11" i="18"/>
  <c r="G12" i="18"/>
  <c r="G13" i="18"/>
  <c r="G23" i="18" s="1"/>
  <c r="G14" i="18"/>
  <c r="G15" i="18"/>
  <c r="G16" i="18"/>
  <c r="G17" i="18"/>
  <c r="G18" i="18"/>
  <c r="G19" i="18"/>
  <c r="G20" i="18"/>
  <c r="G21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AF23" i="18"/>
  <c r="AG23" i="18"/>
  <c r="AH23" i="18"/>
  <c r="AI23" i="18"/>
  <c r="AJ23" i="18"/>
  <c r="AK23" i="18"/>
  <c r="AL23" i="18"/>
  <c r="AM23" i="18"/>
  <c r="AN23" i="18"/>
  <c r="AO23" i="18"/>
  <c r="AP23" i="18"/>
  <c r="AQ23" i="18"/>
  <c r="AR23" i="18"/>
  <c r="AS23" i="18"/>
  <c r="AT23" i="18"/>
  <c r="AU23" i="18"/>
  <c r="AV23" i="18"/>
  <c r="AW23" i="18"/>
  <c r="AX23" i="18"/>
  <c r="AY23" i="18"/>
  <c r="AZ23" i="18"/>
  <c r="BA23" i="18"/>
  <c r="BB23" i="18"/>
  <c r="BC23" i="18"/>
  <c r="BD23" i="18"/>
  <c r="BE23" i="18"/>
  <c r="BF23" i="18"/>
  <c r="BG23" i="18"/>
  <c r="BH23" i="18"/>
  <c r="BI23" i="18"/>
  <c r="BJ23" i="18"/>
  <c r="BK23" i="18"/>
  <c r="BL23" i="18"/>
  <c r="BM23" i="18"/>
  <c r="BN23" i="18"/>
  <c r="BO23" i="18"/>
  <c r="BP23" i="18"/>
  <c r="BQ23" i="18"/>
  <c r="BR23" i="18"/>
  <c r="BS23" i="18"/>
  <c r="BT23" i="18"/>
  <c r="BU23" i="18"/>
  <c r="BV23" i="18"/>
  <c r="BW23" i="18"/>
  <c r="BX23" i="18"/>
  <c r="BY23" i="18"/>
  <c r="BZ23" i="18"/>
  <c r="CA23" i="18"/>
  <c r="CB23" i="18"/>
  <c r="CC23" i="18"/>
  <c r="CD23" i="18"/>
  <c r="CE23" i="18"/>
  <c r="CF23" i="18"/>
  <c r="CG23" i="18"/>
  <c r="CH23" i="18"/>
  <c r="CI23" i="18"/>
  <c r="CJ23" i="18"/>
  <c r="CK23" i="18"/>
  <c r="CL23" i="18"/>
  <c r="CM23" i="18"/>
  <c r="CN23" i="18"/>
  <c r="CO23" i="18"/>
  <c r="CP23" i="18"/>
  <c r="CQ23" i="18"/>
  <c r="CR23" i="18"/>
  <c r="CS23" i="18"/>
  <c r="CT23" i="18"/>
  <c r="CU23" i="18"/>
  <c r="CV23" i="18"/>
  <c r="CW23" i="18"/>
  <c r="CX23" i="18"/>
  <c r="CY23" i="18"/>
  <c r="CZ23" i="18"/>
  <c r="DA23" i="18"/>
  <c r="DB23" i="18"/>
  <c r="DC23" i="18"/>
  <c r="DD23" i="18"/>
  <c r="DE23" i="18"/>
  <c r="DF23" i="18"/>
  <c r="DG23" i="18"/>
  <c r="DH23" i="18"/>
  <c r="DI23" i="18"/>
  <c r="DJ23" i="18"/>
  <c r="DK23" i="18"/>
  <c r="DL23" i="18"/>
  <c r="DM23" i="18"/>
  <c r="DN23" i="18"/>
  <c r="DO23" i="18"/>
  <c r="DP23" i="18"/>
  <c r="DQ23" i="18"/>
  <c r="DR23" i="18"/>
  <c r="DS23" i="18"/>
  <c r="DT23" i="18"/>
  <c r="DU23" i="18"/>
  <c r="DV23" i="18"/>
  <c r="DW23" i="18"/>
  <c r="DX23" i="18"/>
  <c r="DY23" i="18"/>
  <c r="DZ23" i="18"/>
  <c r="EA23" i="18"/>
  <c r="EB23" i="18"/>
  <c r="EC23" i="18"/>
  <c r="ED23" i="18"/>
  <c r="EE23" i="18"/>
  <c r="EF23" i="18"/>
  <c r="EG23" i="18"/>
  <c r="EH23" i="18"/>
  <c r="EI23" i="18"/>
  <c r="EJ23" i="18"/>
  <c r="EK23" i="18"/>
  <c r="EL23" i="18"/>
  <c r="EM23" i="18"/>
  <c r="EN23" i="18"/>
  <c r="EO23" i="18"/>
  <c r="EP23" i="18"/>
  <c r="EQ23" i="18"/>
  <c r="ER23" i="18"/>
  <c r="ES23" i="18"/>
  <c r="ET23" i="18"/>
  <c r="EU23" i="18"/>
  <c r="EV23" i="18"/>
  <c r="A4" i="17" l="1"/>
  <c r="I10" i="17"/>
  <c r="I11" i="17"/>
  <c r="I12" i="17"/>
  <c r="I13" i="17"/>
  <c r="I19" i="17" s="1"/>
  <c r="I14" i="17"/>
  <c r="I15" i="17"/>
  <c r="I16" i="17"/>
  <c r="I17" i="17"/>
  <c r="H24" i="17"/>
  <c r="H25" i="17"/>
  <c r="H27" i="17"/>
  <c r="H28" i="17"/>
  <c r="H30" i="17"/>
  <c r="B33" i="17"/>
  <c r="H33" i="17" s="1"/>
  <c r="C33" i="17"/>
  <c r="D33" i="17"/>
  <c r="E33" i="17"/>
  <c r="F33" i="17"/>
  <c r="G33" i="17"/>
  <c r="B46" i="17"/>
  <c r="A4" i="16"/>
  <c r="B23" i="16"/>
  <c r="H28" i="16"/>
  <c r="H29" i="16"/>
  <c r="H30" i="16"/>
  <c r="H31" i="16"/>
  <c r="H32" i="16"/>
  <c r="H33" i="16"/>
  <c r="H34" i="16"/>
  <c r="H35" i="16"/>
  <c r="H36" i="16"/>
  <c r="H37" i="16"/>
  <c r="H38" i="16"/>
  <c r="B40" i="16"/>
  <c r="C40" i="16"/>
  <c r="D40" i="16"/>
  <c r="E40" i="16"/>
  <c r="F40" i="16"/>
  <c r="G40" i="16"/>
  <c r="H40" i="16" s="1"/>
  <c r="A4" i="15"/>
  <c r="C5" i="10" s="1"/>
  <c r="B23" i="15"/>
  <c r="H29" i="15"/>
  <c r="H30" i="15"/>
  <c r="H31" i="15"/>
  <c r="H32" i="15"/>
  <c r="H33" i="15"/>
  <c r="H34" i="15"/>
  <c r="H35" i="15"/>
  <c r="H36" i="15"/>
  <c r="H37" i="15"/>
  <c r="H38" i="15"/>
  <c r="H39" i="15"/>
  <c r="B41" i="15"/>
  <c r="C41" i="15"/>
  <c r="D41" i="15"/>
  <c r="E41" i="15"/>
  <c r="F41" i="15"/>
  <c r="G41" i="15"/>
  <c r="C8" i="10" s="1"/>
  <c r="A4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H33" i="14"/>
  <c r="H34" i="14"/>
  <c r="H35" i="14"/>
  <c r="H36" i="14"/>
  <c r="H37" i="14"/>
  <c r="H38" i="14"/>
  <c r="H39" i="14"/>
  <c r="H40" i="14"/>
  <c r="B42" i="14"/>
  <c r="H42" i="14" s="1"/>
  <c r="C42" i="14"/>
  <c r="D42" i="14"/>
  <c r="E42" i="14"/>
  <c r="F42" i="14"/>
  <c r="G42" i="14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B49" i="13"/>
  <c r="C49" i="13"/>
  <c r="D49" i="13"/>
  <c r="E49" i="13"/>
  <c r="F49" i="13"/>
  <c r="G49" i="13"/>
  <c r="H49" i="13" s="1"/>
  <c r="A4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B48" i="12"/>
  <c r="C48" i="12"/>
  <c r="D48" i="12"/>
  <c r="E48" i="12"/>
  <c r="F48" i="12"/>
  <c r="G48" i="12"/>
  <c r="H48" i="12"/>
  <c r="A4" i="11"/>
  <c r="B5" i="10" s="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H33" i="11"/>
  <c r="H34" i="11"/>
  <c r="H35" i="11"/>
  <c r="H36" i="11"/>
  <c r="H37" i="11"/>
  <c r="H38" i="11"/>
  <c r="H39" i="11"/>
  <c r="H40" i="11"/>
  <c r="H41" i="11"/>
  <c r="H42" i="11"/>
  <c r="B44" i="11"/>
  <c r="C44" i="11"/>
  <c r="D44" i="11"/>
  <c r="E44" i="11"/>
  <c r="F44" i="11"/>
  <c r="G44" i="11"/>
  <c r="D5" i="10"/>
  <c r="D9" i="10" s="1"/>
  <c r="D8" i="10"/>
  <c r="H41" i="15" l="1"/>
  <c r="C9" i="10"/>
  <c r="I27" i="14"/>
  <c r="I27" i="13"/>
  <c r="I27" i="12"/>
  <c r="I27" i="11"/>
  <c r="H44" i="11"/>
  <c r="B8" i="10"/>
  <c r="B9" i="10" s="1"/>
  <c r="D14" i="5" l="1"/>
  <c r="C14" i="5"/>
  <c r="F6" i="3"/>
  <c r="E6" i="3"/>
  <c r="F5" i="3"/>
  <c r="E5" i="3"/>
  <c r="F4" i="3"/>
  <c r="E4" i="3"/>
  <c r="F3" i="3"/>
  <c r="E3" i="3"/>
  <c r="G28" i="1" l="1"/>
  <c r="F28" i="1"/>
  <c r="J28" i="1"/>
  <c r="G27" i="1"/>
  <c r="F27" i="1"/>
  <c r="J27" i="1"/>
  <c r="G26" i="1"/>
  <c r="F26" i="1"/>
  <c r="J26" i="1"/>
  <c r="G25" i="1"/>
  <c r="F25" i="1"/>
  <c r="J25" i="1"/>
  <c r="G24" i="1"/>
  <c r="F24" i="1"/>
  <c r="J24" i="1"/>
  <c r="G23" i="1"/>
  <c r="F23" i="1"/>
  <c r="J23" i="1"/>
  <c r="G22" i="1"/>
  <c r="F22" i="1"/>
  <c r="J22" i="1"/>
  <c r="G21" i="1"/>
  <c r="F21" i="1"/>
  <c r="J21" i="1"/>
  <c r="K21" i="1" s="1"/>
  <c r="G20" i="1"/>
  <c r="F20" i="1"/>
  <c r="J20" i="1"/>
  <c r="G19" i="1"/>
  <c r="F19" i="1"/>
  <c r="J19" i="1"/>
  <c r="G18" i="1"/>
  <c r="F18" i="1"/>
  <c r="J18" i="1"/>
  <c r="G17" i="1"/>
  <c r="F17" i="1"/>
  <c r="J17" i="1"/>
  <c r="G16" i="1"/>
  <c r="F16" i="1"/>
  <c r="J16" i="1"/>
  <c r="G15" i="1"/>
  <c r="F15" i="1"/>
  <c r="J15" i="1"/>
  <c r="G14" i="1"/>
  <c r="F14" i="1"/>
  <c r="J14" i="1"/>
  <c r="G13" i="1"/>
  <c r="F13" i="1"/>
  <c r="J13" i="1"/>
  <c r="G12" i="1"/>
  <c r="F12" i="1"/>
  <c r="J12" i="1"/>
  <c r="G11" i="1"/>
  <c r="F11" i="1"/>
  <c r="J11" i="1"/>
  <c r="G10" i="1"/>
  <c r="F10" i="1"/>
  <c r="J10" i="1"/>
  <c r="G9" i="1"/>
  <c r="F9" i="1"/>
  <c r="J9" i="1"/>
  <c r="G8" i="1"/>
  <c r="F8" i="1"/>
  <c r="J8" i="1"/>
  <c r="G7" i="1"/>
  <c r="F7" i="1"/>
  <c r="J7" i="1"/>
  <c r="G6" i="1"/>
  <c r="F6" i="1"/>
  <c r="J6" i="1"/>
  <c r="G5" i="1"/>
  <c r="F5" i="1"/>
  <c r="J5" i="1"/>
  <c r="K5" i="1" s="1"/>
  <c r="G4" i="1"/>
  <c r="F4" i="1"/>
  <c r="J4" i="1"/>
  <c r="G3" i="1"/>
  <c r="F3" i="1"/>
  <c r="J3" i="1"/>
  <c r="K15" i="1" l="1"/>
  <c r="K18" i="1"/>
  <c r="K25" i="1"/>
  <c r="K23" i="1"/>
  <c r="K26" i="1"/>
  <c r="K10" i="1"/>
  <c r="K20" i="1"/>
  <c r="K24" i="1"/>
  <c r="K22" i="1"/>
  <c r="K12" i="1"/>
  <c r="K14" i="1"/>
  <c r="K17" i="1"/>
  <c r="K8" i="1"/>
  <c r="K11" i="1"/>
  <c r="K27" i="1"/>
  <c r="K3" i="1"/>
  <c r="K6" i="1"/>
  <c r="K9" i="1"/>
  <c r="K28" i="1"/>
  <c r="K13" i="1"/>
  <c r="K16" i="1"/>
  <c r="K19" i="1"/>
  <c r="K4" i="1"/>
  <c r="K7" i="1"/>
</calcChain>
</file>

<file path=xl/sharedStrings.xml><?xml version="1.0" encoding="utf-8"?>
<sst xmlns="http://schemas.openxmlformats.org/spreadsheetml/2006/main" count="6456" uniqueCount="3063">
  <si>
    <t>Region</t>
  </si>
  <si>
    <t>Primer set ID</t>
  </si>
  <si>
    <t>Forward primer sequence</t>
  </si>
  <si>
    <t>MiMammal</t>
  </si>
  <si>
    <t>12S rRNA</t>
  </si>
  <si>
    <t>GGGTTGGTAAATTTCGTGCCAGC</t>
  </si>
  <si>
    <t>CATAGTGGGGTATCTAATCCCAGTTTG</t>
  </si>
  <si>
    <t>MarVer1</t>
  </si>
  <si>
    <t>CGTGCCAGCCACCGCG</t>
  </si>
  <si>
    <t>MarVer2</t>
  </si>
  <si>
    <t>MarVer3</t>
  </si>
  <si>
    <t>16S rRNA</t>
  </si>
  <si>
    <t>GGATTGCGCTGTTATCCC</t>
  </si>
  <si>
    <t>Ceto2</t>
  </si>
  <si>
    <t>CACGCACACACCGCCCG</t>
  </si>
  <si>
    <t>GTATGCTTACCTTGTTACGAC</t>
  </si>
  <si>
    <t>Riaz12S</t>
  </si>
  <si>
    <t>TTAGATACCCCACTATGC</t>
  </si>
  <si>
    <t>TAGAACAGGCTCCTCTAG</t>
  </si>
  <si>
    <t>GACACTGAAAATGTCTAGATGG</t>
  </si>
  <si>
    <t>GCATAGTGGGGTATCTAATCCCAG</t>
  </si>
  <si>
    <t>ACTGGGATTAGATACCCCACTATGC</t>
  </si>
  <si>
    <t>CTGGTGATAGCTGGTTGTCCAA</t>
  </si>
  <si>
    <t>AGCTTGAACGCTTTCTTAATTGATGG</t>
  </si>
  <si>
    <t>GAGCTTGAACGCTTTCTTA</t>
  </si>
  <si>
    <t>TGTCCTGATCCAACATCGAGG</t>
  </si>
  <si>
    <t>CGAGAAGACCCTATGGAGCTT</t>
  </si>
  <si>
    <t>GTTGGCCTTATTTCTCTTGTCCTTT</t>
  </si>
  <si>
    <t>CCTTTCGTACTRGGAGAAATRC</t>
  </si>
  <si>
    <t>GGGATAACAGCGCAATCCTATT</t>
  </si>
  <si>
    <t>Dc2430_2580</t>
  </si>
  <si>
    <t>GTTTACGACCTCGATGTTGGATCA</t>
  </si>
  <si>
    <t>CCTCGATGTTGGATCAGGAC</t>
  </si>
  <si>
    <t>AAGTCCTACGTGATCTGAGTTCA</t>
  </si>
  <si>
    <t>NAD3</t>
  </si>
  <si>
    <t>Product length (bp)</t>
  </si>
  <si>
    <t>Insert length (bp)</t>
  </si>
  <si>
    <t>Reverse primer sequence</t>
  </si>
  <si>
    <t>GC% (forward)</t>
  </si>
  <si>
    <t>GC% (reverse)</t>
  </si>
  <si>
    <r>
      <t>CCGCCCGTCAC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CTC</t>
    </r>
  </si>
  <si>
    <r>
      <t>CTTACC</t>
    </r>
    <r>
      <rPr>
        <b/>
        <sz val="12"/>
        <color theme="1"/>
        <rFont val="Arial"/>
        <family val="2"/>
      </rPr>
      <t>W</t>
    </r>
    <r>
      <rPr>
        <sz val="12"/>
        <color theme="1"/>
        <rFont val="Arial"/>
        <family val="2"/>
      </rPr>
      <t>TGTTACGACTT</t>
    </r>
  </si>
  <si>
    <r>
      <t>AGACGAGAAGACCCT</t>
    </r>
    <r>
      <rPr>
        <b/>
        <sz val="12"/>
        <color theme="1"/>
        <rFont val="Arial"/>
        <family val="2"/>
      </rPr>
      <t>R</t>
    </r>
    <r>
      <rPr>
        <sz val="12"/>
        <color theme="1"/>
        <rFont val="Arial"/>
        <family val="2"/>
      </rPr>
      <t>TG</t>
    </r>
  </si>
  <si>
    <r>
      <t>T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AATCGTATGACCGCGGTG</t>
    </r>
  </si>
  <si>
    <r>
      <t>ACCGCGGTCATACGATT</t>
    </r>
    <r>
      <rPr>
        <b/>
        <sz val="12"/>
        <color theme="1"/>
        <rFont val="Arial"/>
        <family val="2"/>
      </rPr>
      <t>R</t>
    </r>
    <r>
      <rPr>
        <sz val="12"/>
        <color theme="1"/>
        <rFont val="Arial"/>
        <family val="2"/>
      </rPr>
      <t>AC</t>
    </r>
  </si>
  <si>
    <r>
      <t>G</t>
    </r>
    <r>
      <rPr>
        <b/>
        <sz val="12"/>
        <color theme="1"/>
        <rFont val="Arial"/>
        <family val="2"/>
      </rPr>
      <t>RY</t>
    </r>
    <r>
      <rPr>
        <sz val="12"/>
        <color theme="1"/>
        <rFont val="Arial"/>
        <family val="2"/>
      </rPr>
      <t>TGGTGAGGTT</t>
    </r>
    <r>
      <rPr>
        <b/>
        <sz val="12"/>
        <color theme="1"/>
        <rFont val="Arial"/>
        <family val="2"/>
      </rPr>
      <t>R</t>
    </r>
    <r>
      <rPr>
        <sz val="12"/>
        <color theme="1"/>
        <rFont val="Arial"/>
        <family val="2"/>
      </rPr>
      <t>ATCG</t>
    </r>
    <r>
      <rPr>
        <b/>
        <sz val="12"/>
        <color theme="1"/>
        <rFont val="Arial"/>
        <family val="2"/>
      </rPr>
      <t>K</t>
    </r>
    <r>
      <rPr>
        <sz val="12"/>
        <color theme="1"/>
        <rFont val="Arial"/>
        <family val="2"/>
      </rPr>
      <t>GGTTTA</t>
    </r>
  </si>
  <si>
    <r>
      <t>ATAAACC</t>
    </r>
    <r>
      <rPr>
        <b/>
        <sz val="12"/>
        <color theme="1"/>
        <rFont val="Arial"/>
        <family val="2"/>
      </rPr>
      <t>M</t>
    </r>
    <r>
      <rPr>
        <sz val="12"/>
        <color theme="1"/>
        <rFont val="Arial"/>
        <family val="2"/>
      </rPr>
      <t>CGAT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AACCTCACCA</t>
    </r>
    <r>
      <rPr>
        <b/>
        <sz val="12"/>
        <color theme="1"/>
        <rFont val="Arial"/>
        <family val="2"/>
      </rPr>
      <t>RY</t>
    </r>
    <r>
      <rPr>
        <sz val="12"/>
        <color theme="1"/>
        <rFont val="Arial"/>
        <family val="2"/>
      </rPr>
      <t>C</t>
    </r>
  </si>
  <si>
    <r>
      <t>CACAC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TTCC</t>
    </r>
    <r>
      <rPr>
        <b/>
        <sz val="12"/>
        <color theme="1"/>
        <rFont val="Arial"/>
        <family val="2"/>
      </rPr>
      <t>R</t>
    </r>
    <r>
      <rPr>
        <sz val="12"/>
        <color theme="1"/>
        <rFont val="Arial"/>
        <family val="2"/>
      </rPr>
      <t>GTA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GCTTACC</t>
    </r>
  </si>
  <si>
    <r>
      <t>CAAGCACAC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TTCC</t>
    </r>
    <r>
      <rPr>
        <b/>
        <sz val="12"/>
        <color theme="1"/>
        <rFont val="Arial"/>
        <family val="2"/>
      </rPr>
      <t>R</t>
    </r>
    <r>
      <rPr>
        <sz val="12"/>
        <color theme="1"/>
        <rFont val="Arial"/>
        <family val="2"/>
      </rPr>
      <t>GTA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G</t>
    </r>
  </si>
  <si>
    <r>
      <t>GCTACT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CAGTCTATATACC</t>
    </r>
  </si>
  <si>
    <r>
      <t>TAGCTGGTTGTCCA</t>
    </r>
    <r>
      <rPr>
        <b/>
        <sz val="12"/>
        <color theme="1"/>
        <rFont val="Arial"/>
        <family val="2"/>
      </rPr>
      <t>WR</t>
    </r>
    <r>
      <rPr>
        <sz val="12"/>
        <color theme="1"/>
        <rFont val="Arial"/>
        <family val="2"/>
      </rPr>
      <t>AAA</t>
    </r>
  </si>
  <si>
    <r>
      <t>ATGAA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GGCCACACGAGGGTTTTA</t>
    </r>
  </si>
  <si>
    <r>
      <t>GGAGCTT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AATTAA</t>
    </r>
    <r>
      <rPr>
        <b/>
        <sz val="12"/>
        <color theme="1"/>
        <rFont val="Arial"/>
        <family val="2"/>
      </rPr>
      <t>YY</t>
    </r>
    <r>
      <rPr>
        <sz val="12"/>
        <color theme="1"/>
        <rFont val="Arial"/>
        <family val="2"/>
      </rPr>
      <t>AAC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C</t>
    </r>
  </si>
  <si>
    <r>
      <t>CCTTTCGTACT</t>
    </r>
    <r>
      <rPr>
        <b/>
        <sz val="12"/>
        <color theme="1"/>
        <rFont val="Arial"/>
        <family val="2"/>
      </rPr>
      <t>R</t>
    </r>
    <r>
      <rPr>
        <sz val="12"/>
        <color theme="1"/>
        <rFont val="Arial"/>
        <family val="2"/>
      </rPr>
      <t>GGAGAAAT</t>
    </r>
    <r>
      <rPr>
        <b/>
        <sz val="12"/>
        <color theme="1"/>
        <rFont val="Arial"/>
        <family val="2"/>
      </rPr>
      <t>R</t>
    </r>
    <r>
      <rPr>
        <sz val="12"/>
        <color theme="1"/>
        <rFont val="Arial"/>
        <family val="2"/>
      </rPr>
      <t>C</t>
    </r>
  </si>
  <si>
    <r>
      <t>CTGACTTCCAATCAGTT</t>
    </r>
    <r>
      <rPr>
        <b/>
        <sz val="12"/>
        <color theme="1"/>
        <rFont val="Arial"/>
        <family val="2"/>
      </rPr>
      <t>R</t>
    </r>
    <r>
      <rPr>
        <sz val="12"/>
        <color theme="1"/>
        <rFont val="Arial"/>
        <family val="2"/>
      </rPr>
      <t>GTTTCGG</t>
    </r>
  </si>
  <si>
    <r>
      <t>CATTCTA</t>
    </r>
    <r>
      <rPr>
        <b/>
        <sz val="12"/>
        <color theme="1"/>
        <rFont val="Arial"/>
        <family val="2"/>
      </rPr>
      <t>RR</t>
    </r>
    <r>
      <rPr>
        <sz val="12"/>
        <color theme="1"/>
        <rFont val="Arial"/>
        <family val="2"/>
      </rPr>
      <t>CC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TTG</t>
    </r>
    <r>
      <rPr>
        <b/>
        <sz val="12"/>
        <color theme="1"/>
        <rFont val="Arial"/>
        <family val="2"/>
      </rPr>
      <t>R</t>
    </r>
    <r>
      <rPr>
        <sz val="12"/>
        <color theme="1"/>
        <rFont val="Arial"/>
        <family val="2"/>
      </rPr>
      <t>G</t>
    </r>
  </si>
  <si>
    <r>
      <t>CATATT</t>
    </r>
    <r>
      <rPr>
        <b/>
        <sz val="12"/>
        <color theme="1"/>
        <rFont val="Arial"/>
        <family val="2"/>
      </rPr>
      <t>YRK</t>
    </r>
    <r>
      <rPr>
        <sz val="12"/>
        <color theme="1"/>
        <rFont val="Arial"/>
        <family val="2"/>
      </rPr>
      <t>C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CATTC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A</t>
    </r>
  </si>
  <si>
    <r>
      <t>GGGTATCTAATCC</t>
    </r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AGTTTG</t>
    </r>
  </si>
  <si>
    <r>
      <rPr>
        <vertAlign val="superscript"/>
        <sz val="12"/>
        <color theme="1"/>
        <rFont val="Arial"/>
        <family val="2"/>
      </rPr>
      <t>*</t>
    </r>
    <r>
      <rPr>
        <sz val="12"/>
        <color theme="1"/>
        <rFont val="Arial"/>
        <family val="2"/>
      </rPr>
      <t xml:space="preserve">Position is based on the mitochondrial genome of </t>
    </r>
    <r>
      <rPr>
        <i/>
        <sz val="12"/>
        <color theme="1"/>
        <rFont val="Arial"/>
        <family val="2"/>
      </rPr>
      <t>Delphinus capensis</t>
    </r>
  </si>
  <si>
    <r>
      <t>Forward primer start position</t>
    </r>
    <r>
      <rPr>
        <b/>
        <vertAlign val="superscript"/>
        <sz val="12"/>
        <color theme="1"/>
        <rFont val="Arial"/>
        <family val="2"/>
      </rPr>
      <t>*</t>
    </r>
  </si>
  <si>
    <r>
      <t>Reverse primer start position</t>
    </r>
    <r>
      <rPr>
        <b/>
        <vertAlign val="superscript"/>
        <sz val="12"/>
        <color theme="1"/>
        <rFont val="Arial"/>
        <family val="2"/>
      </rPr>
      <t>*</t>
    </r>
  </si>
  <si>
    <t>Forward primer length (bp)</t>
  </si>
  <si>
    <t>Reverse primer length (bp)</t>
  </si>
  <si>
    <t>Reference</t>
  </si>
  <si>
    <t>Ushio et al. (2017)</t>
  </si>
  <si>
    <t>Valsecchi et al. (2020)</t>
  </si>
  <si>
    <t>Riaz et al. (2011)</t>
  </si>
  <si>
    <t>This study</t>
  </si>
  <si>
    <r>
      <rPr>
        <vertAlign val="superscript"/>
        <sz val="12"/>
        <color theme="1"/>
        <rFont val="Arial"/>
        <family val="2"/>
      </rPr>
      <t>†</t>
    </r>
    <r>
      <rPr>
        <sz val="12"/>
        <color theme="1"/>
        <rFont val="Arial"/>
        <family val="2"/>
      </rPr>
      <t>The performance of new primers highlighted in gray were tested empirically</t>
    </r>
  </si>
  <si>
    <t>Dc494F- Mu643R</t>
  </si>
  <si>
    <t>Bold characters indicate degenerated bases.</t>
  </si>
  <si>
    <t>Table 1. Cetacean-specific primers for eDNA metabarcoding tested empirically</t>
  </si>
  <si>
    <t>Family</t>
  </si>
  <si>
    <t>Mu31F</t>
  </si>
  <si>
    <t>Dc320R</t>
  </si>
  <si>
    <t>Dc671F</t>
  </si>
  <si>
    <t>Dc1015R</t>
  </si>
  <si>
    <t>Mu2084F</t>
  </si>
  <si>
    <t>Dc2438R</t>
  </si>
  <si>
    <t>Mu9459F</t>
  </si>
  <si>
    <t>Mu9822R</t>
  </si>
  <si>
    <t>Dc671F
 + Dc1015R</t>
    <phoneticPr fontId="2"/>
  </si>
  <si>
    <t>Mu2084F
 + Dc2438R</t>
    <phoneticPr fontId="2"/>
  </si>
  <si>
    <t>Mu9459F
 + Mu9822R</t>
    <phoneticPr fontId="2"/>
  </si>
  <si>
    <t>Lagenorhynchus obliquidens</t>
  </si>
  <si>
    <t>Kogia breviceps</t>
  </si>
  <si>
    <t>Stenella coeruleoalba</t>
  </si>
  <si>
    <t>Balaenoptera physalus</t>
  </si>
  <si>
    <t>Berardius bairdii</t>
  </si>
  <si>
    <t>Balaenoptera brydei</t>
  </si>
  <si>
    <t>Sousa chinensis</t>
  </si>
  <si>
    <t>Neophocaena phocaenoides</t>
  </si>
  <si>
    <t>Genus_Species</t>
  </si>
  <si>
    <t>Order</t>
  </si>
  <si>
    <t>Suborder</t>
  </si>
  <si>
    <t>Genus</t>
  </si>
  <si>
    <t>Species</t>
  </si>
  <si>
    <t>Dugong dugon</t>
  </si>
  <si>
    <t>Sirenia</t>
  </si>
  <si>
    <t>Dugongidae</t>
  </si>
  <si>
    <t>Dugong</t>
  </si>
  <si>
    <t>dugon</t>
  </si>
  <si>
    <t>NC_003314.1</t>
  </si>
  <si>
    <t>Trichechidae</t>
  </si>
  <si>
    <t>Trichechus</t>
  </si>
  <si>
    <t>Trichechus manatus</t>
  </si>
  <si>
    <t>manatus</t>
  </si>
  <si>
    <t>NC_010302.1</t>
  </si>
  <si>
    <t>Balaena mysticetus</t>
  </si>
  <si>
    <t>Cetartiodactyla</t>
  </si>
  <si>
    <t>Mysticeti</t>
  </si>
  <si>
    <t>Balaenidae</t>
  </si>
  <si>
    <t>Balaena</t>
  </si>
  <si>
    <t>mysticetus</t>
  </si>
  <si>
    <t>NC_005268.1</t>
  </si>
  <si>
    <t>Eubalaena australis</t>
  </si>
  <si>
    <t>Eubalaena</t>
  </si>
  <si>
    <t>australis</t>
  </si>
  <si>
    <t>NC_006930.1</t>
  </si>
  <si>
    <t>Eubalaena glacialis</t>
  </si>
  <si>
    <t>glacialis</t>
  </si>
  <si>
    <t>NC_037444.1</t>
  </si>
  <si>
    <t>Eubalaena japonica</t>
  </si>
  <si>
    <t>japonica</t>
  </si>
  <si>
    <t>NC_006931.1</t>
  </si>
  <si>
    <t>Balaenoptera acutorostrata</t>
  </si>
  <si>
    <t>Balaenopteridae</t>
  </si>
  <si>
    <t>Balaenoptera</t>
  </si>
  <si>
    <t>acutorostrata</t>
  </si>
  <si>
    <t>NC_005271.1</t>
  </si>
  <si>
    <t>Balaenoptera bonaerensis</t>
  </si>
  <si>
    <t>bonaerensis</t>
  </si>
  <si>
    <t>NC_006926.1</t>
  </si>
  <si>
    <t>Balaenoptera borealis</t>
  </si>
  <si>
    <t>borealis</t>
  </si>
  <si>
    <t>NC_006929.1</t>
  </si>
  <si>
    <t>brydei</t>
  </si>
  <si>
    <t>NC_006928.1</t>
  </si>
  <si>
    <t>Balaenoptera edeni</t>
  </si>
  <si>
    <t>edeni</t>
  </si>
  <si>
    <t>NC_007938.1</t>
  </si>
  <si>
    <t>Balaenoptera musculus</t>
  </si>
  <si>
    <t>musculus</t>
  </si>
  <si>
    <t>NC_001601.1</t>
  </si>
  <si>
    <t>Balaenoptera omurai</t>
  </si>
  <si>
    <t>omurai</t>
  </si>
  <si>
    <t>NC_007937.1</t>
  </si>
  <si>
    <t>physalus</t>
  </si>
  <si>
    <t>NC_001321.1</t>
  </si>
  <si>
    <t>Megaptera novaeangliae</t>
  </si>
  <si>
    <t>Megaptera</t>
  </si>
  <si>
    <t>novaeangliae</t>
  </si>
  <si>
    <t>NC_006927.1</t>
  </si>
  <si>
    <t>Eschrichtius robustus</t>
  </si>
  <si>
    <t>Eschrichtiidae</t>
  </si>
  <si>
    <t>Eschrichtius</t>
  </si>
  <si>
    <t>robustus</t>
  </si>
  <si>
    <t>NC_005270.1</t>
  </si>
  <si>
    <t>Caperea marginata</t>
  </si>
  <si>
    <t>Neobalaenidae</t>
  </si>
  <si>
    <t>Caperea</t>
  </si>
  <si>
    <t>marginata</t>
  </si>
  <si>
    <t>NC_005269.1</t>
  </si>
  <si>
    <t>Cephalorhynchus commersonii</t>
  </si>
  <si>
    <t>Odontoceti</t>
  </si>
  <si>
    <t>Delphinidae</t>
  </si>
  <si>
    <t>Cephalorhynchus</t>
  </si>
  <si>
    <t>commersonii</t>
  </si>
  <si>
    <t>NC_060610.1</t>
  </si>
  <si>
    <t>Cephalorhynchus heavisidii</t>
  </si>
  <si>
    <t>heavisidii</t>
  </si>
  <si>
    <t>NC_020696.1</t>
  </si>
  <si>
    <t>Delphinus capensis</t>
  </si>
  <si>
    <t>Delphinus</t>
  </si>
  <si>
    <t>capensis</t>
  </si>
  <si>
    <t>NC_012061.1</t>
  </si>
  <si>
    <t>Delphinus delphis</t>
  </si>
  <si>
    <t>delphis</t>
  </si>
  <si>
    <t>NC_036415.1</t>
  </si>
  <si>
    <t>Feresa attenuata</t>
  </si>
  <si>
    <t>Feresa</t>
  </si>
  <si>
    <t>attenuata</t>
  </si>
  <si>
    <t>NC_019588.1</t>
  </si>
  <si>
    <t>Globicephala macrorhynchus</t>
  </si>
  <si>
    <t>Globicephala</t>
  </si>
  <si>
    <t>macrorhynchus</t>
  </si>
  <si>
    <t>NC_019578.2</t>
  </si>
  <si>
    <t>Globicephala melas</t>
  </si>
  <si>
    <t>melas</t>
  </si>
  <si>
    <t>NC_019441.1</t>
  </si>
  <si>
    <t>Grampus griseus</t>
  </si>
  <si>
    <t>Grampus</t>
  </si>
  <si>
    <t>griseus</t>
  </si>
  <si>
    <t>NC_012062.1</t>
  </si>
  <si>
    <t>Lagenodelphis hosei</t>
  </si>
  <si>
    <t>Lagenodelphis</t>
  </si>
  <si>
    <t>hosei</t>
  </si>
  <si>
    <t>NC_037848.1</t>
  </si>
  <si>
    <t>Lagenorhynchus acutus</t>
  </si>
  <si>
    <t>Lagenorhynchus</t>
  </si>
  <si>
    <t>acutus</t>
  </si>
  <si>
    <t>NC_050265.1</t>
  </si>
  <si>
    <t>Lagenorhynchus albirostris</t>
  </si>
  <si>
    <t>albirostris</t>
  </si>
  <si>
    <t>NC_005278.1</t>
  </si>
  <si>
    <t>obliquidens</t>
  </si>
  <si>
    <t>NC_035426.1</t>
  </si>
  <si>
    <t>Orcaella brevirostris</t>
  </si>
  <si>
    <t>Orcaella</t>
  </si>
  <si>
    <t>brevirostris</t>
  </si>
  <si>
    <t>NC_019590.1</t>
  </si>
  <si>
    <t>Orcaella heinsohni</t>
  </si>
  <si>
    <t>heinsohni</t>
  </si>
  <si>
    <t>NC_019591.1</t>
  </si>
  <si>
    <t>Orcinus orca</t>
  </si>
  <si>
    <t>Orcinus</t>
  </si>
  <si>
    <t>orca</t>
  </si>
  <si>
    <t>NC_064558.1</t>
  </si>
  <si>
    <t>Peponocephala electra</t>
  </si>
  <si>
    <t>Peponocephala</t>
  </si>
  <si>
    <t>electra</t>
  </si>
  <si>
    <t>NC_019589.1</t>
  </si>
  <si>
    <t>Pseudorca crassidens</t>
  </si>
  <si>
    <t>Pseudorca</t>
  </si>
  <si>
    <t>crassidens</t>
  </si>
  <si>
    <t>NC_019577.1</t>
  </si>
  <si>
    <t>Sousa</t>
  </si>
  <si>
    <t>chinensis</t>
  </si>
  <si>
    <t>NC_012057.1</t>
  </si>
  <si>
    <t>Sousa teuszii</t>
  </si>
  <si>
    <t>teuszii</t>
  </si>
  <si>
    <t>NC_045404.1</t>
  </si>
  <si>
    <t>Stenella attenuata</t>
  </si>
  <si>
    <t>Stenella</t>
  </si>
  <si>
    <t>NC_012051.1</t>
  </si>
  <si>
    <t>Stenella clymene</t>
  </si>
  <si>
    <t>clymene</t>
  </si>
  <si>
    <t>NC_060611.1</t>
  </si>
  <si>
    <t>coeruleoalba</t>
  </si>
  <si>
    <t>NC_012053.1</t>
  </si>
  <si>
    <t>Stenella frontalis</t>
  </si>
  <si>
    <t>frontalis</t>
  </si>
  <si>
    <t>NC_060612.1</t>
  </si>
  <si>
    <t>Stenella longirostris</t>
  </si>
  <si>
    <t>longirostris</t>
  </si>
  <si>
    <t>NC_032301.1</t>
  </si>
  <si>
    <t>Steno bredanensis</t>
  </si>
  <si>
    <t>Steno</t>
  </si>
  <si>
    <t>bredanensis</t>
  </si>
  <si>
    <t>NC_042761.1</t>
  </si>
  <si>
    <t>Tursiops aduncus</t>
  </si>
  <si>
    <t>Tursiops</t>
  </si>
  <si>
    <t>aduncus</t>
  </si>
  <si>
    <t>NC_012058.1</t>
  </si>
  <si>
    <t>Tursiops australis</t>
  </si>
  <si>
    <t>NC_022805.1</t>
  </si>
  <si>
    <t>Tursiops truncatus</t>
  </si>
  <si>
    <t>truncatus</t>
  </si>
  <si>
    <t>NC_012059.1</t>
  </si>
  <si>
    <t>Delphinapterus leucas</t>
  </si>
  <si>
    <t>Monodontidae</t>
  </si>
  <si>
    <t>Delphinapterus</t>
  </si>
  <si>
    <t>leucas</t>
  </si>
  <si>
    <t>NC_034236.1</t>
  </si>
  <si>
    <t>Monodon monoceros</t>
  </si>
  <si>
    <t>Monodon</t>
  </si>
  <si>
    <t>monoceros</t>
  </si>
  <si>
    <t>NC_005279.1</t>
  </si>
  <si>
    <t>Neophocaena asiaeorientalis</t>
  </si>
  <si>
    <t>Phocoenidae</t>
  </si>
  <si>
    <t>Neophocaena</t>
  </si>
  <si>
    <t>asiaeorientalis</t>
  </si>
  <si>
    <t>NC_026456.1</t>
  </si>
  <si>
    <t>phocaenoides</t>
  </si>
  <si>
    <t>NC_021461.1</t>
  </si>
  <si>
    <t>Phocoena dioptrica</t>
  </si>
  <si>
    <t>Phocoena</t>
  </si>
  <si>
    <t>dioptrica</t>
  </si>
  <si>
    <t>NC_053752.1</t>
  </si>
  <si>
    <t>Phocoena phocoena</t>
  </si>
  <si>
    <t>phocoena</t>
  </si>
  <si>
    <t>NC_005280.1</t>
  </si>
  <si>
    <t>Phocoena sinus</t>
  </si>
  <si>
    <t>sinus</t>
  </si>
  <si>
    <t>NC_053751.1</t>
  </si>
  <si>
    <t>Phocoena spinipinnis</t>
  </si>
  <si>
    <t>spinipinnis</t>
  </si>
  <si>
    <t>NC_053750.1</t>
  </si>
  <si>
    <t>Phocoenoides dalli</t>
  </si>
  <si>
    <t>Phocoenoides</t>
  </si>
  <si>
    <t>dalli</t>
  </si>
  <si>
    <t>NC_053753.1</t>
  </si>
  <si>
    <t>Physeteridae</t>
  </si>
  <si>
    <t>Kogia</t>
  </si>
  <si>
    <t>breviceps</t>
  </si>
  <si>
    <t>NC_005272.1</t>
  </si>
  <si>
    <t>Kogia sima</t>
  </si>
  <si>
    <t>sima</t>
  </si>
  <si>
    <t>NC_041303.1</t>
  </si>
  <si>
    <t>Physeter macrocephalus</t>
  </si>
  <si>
    <t>Physeter</t>
  </si>
  <si>
    <t>macrocephalus</t>
  </si>
  <si>
    <t>NC_002503.2</t>
  </si>
  <si>
    <t>Platanista gangetica</t>
  </si>
  <si>
    <t>Platanistidae</t>
  </si>
  <si>
    <t>Platanista</t>
  </si>
  <si>
    <t>gangetica</t>
  </si>
  <si>
    <t>NC_057433.1</t>
  </si>
  <si>
    <t>Platanista minor</t>
  </si>
  <si>
    <t>minor</t>
  </si>
  <si>
    <t>NC_005275.1</t>
  </si>
  <si>
    <t>Iniidae</t>
  </si>
  <si>
    <t>Inia</t>
  </si>
  <si>
    <t>Inia geoffrensis</t>
  </si>
  <si>
    <t>geoffrensis</t>
  </si>
  <si>
    <t>NC_005276.1</t>
  </si>
  <si>
    <t>Lipotes vexillifer</t>
  </si>
  <si>
    <t>Lipotes</t>
  </si>
  <si>
    <t>vexillifer</t>
  </si>
  <si>
    <t>NC_007629.1</t>
  </si>
  <si>
    <t>Pontoporia blainvillei</t>
  </si>
  <si>
    <t>Pontoporia</t>
  </si>
  <si>
    <t>blainvillei</t>
  </si>
  <si>
    <t>NC_005277.1</t>
  </si>
  <si>
    <t>Ziphiidae</t>
  </si>
  <si>
    <t>Berardius</t>
  </si>
  <si>
    <t>bairdii</t>
  </si>
  <si>
    <t>NC_005274.1</t>
  </si>
  <si>
    <t>Hyperoodon ampullatus</t>
  </si>
  <si>
    <t>Hyperoodon</t>
  </si>
  <si>
    <t>ampullatus</t>
  </si>
  <si>
    <t>NC_005273.1</t>
  </si>
  <si>
    <t>Indopacetus pacificus</t>
  </si>
  <si>
    <t>Indopacetus</t>
  </si>
  <si>
    <t>pacificus</t>
  </si>
  <si>
    <t>NC_034348.1</t>
  </si>
  <si>
    <t>Mesoplodon bidens</t>
  </si>
  <si>
    <t>Mesoplodon</t>
  </si>
  <si>
    <t>bidens</t>
  </si>
  <si>
    <t>NC_042218.1</t>
  </si>
  <si>
    <t>Mesoplodon densirostris</t>
  </si>
  <si>
    <t>densirostris</t>
  </si>
  <si>
    <t>NC_021974.2</t>
  </si>
  <si>
    <t>Mesoplodon europaeus</t>
  </si>
  <si>
    <t>europaeus</t>
  </si>
  <si>
    <t>NC_021434.2</t>
  </si>
  <si>
    <t>Mesoplodon ginkgodens</t>
  </si>
  <si>
    <t>ginkgodens</t>
  </si>
  <si>
    <t>NC_027593.1</t>
  </si>
  <si>
    <t>Mesoplodon grayi</t>
  </si>
  <si>
    <t>grayi</t>
  </si>
  <si>
    <t>NC_023830.1</t>
  </si>
  <si>
    <t>Mesoplodon mirus</t>
  </si>
  <si>
    <t>mirus</t>
  </si>
  <si>
    <t>NC_042217.1</t>
  </si>
  <si>
    <t>Mesoplodon stejnegeri</t>
  </si>
  <si>
    <t>stejnegeri</t>
  </si>
  <si>
    <t>NC_036997.1</t>
  </si>
  <si>
    <t>Ziphius cavirostris</t>
  </si>
  <si>
    <t>Ziphius</t>
  </si>
  <si>
    <t>cavirostris</t>
  </si>
  <si>
    <t>NC_021435.1</t>
  </si>
  <si>
    <t>Arctocephalus australis</t>
  </si>
  <si>
    <t>Carnivora</t>
  </si>
  <si>
    <t>Caniformia</t>
  </si>
  <si>
    <t>Otariidae</t>
  </si>
  <si>
    <t>Arctocephalus</t>
  </si>
  <si>
    <t>NC_063561.1</t>
  </si>
  <si>
    <t>Arctocephalus forsteri</t>
  </si>
  <si>
    <t>forsteri</t>
  </si>
  <si>
    <t>NC_004023.1</t>
  </si>
  <si>
    <t>Arctocephalus pusillus</t>
  </si>
  <si>
    <t>pusillus</t>
  </si>
  <si>
    <t>NC_008417.1</t>
  </si>
  <si>
    <t>Arctocephalus townsendi</t>
  </si>
  <si>
    <t>townsendi</t>
  </si>
  <si>
    <t>NC_008420.1</t>
  </si>
  <si>
    <t>Callorhinus ursinus</t>
  </si>
  <si>
    <t>Callorhinus</t>
  </si>
  <si>
    <t>ursinus</t>
  </si>
  <si>
    <t>NC_008415.3</t>
  </si>
  <si>
    <t>Eumetopias jubatus</t>
  </si>
  <si>
    <t>Eumetopias</t>
  </si>
  <si>
    <t>jubatus</t>
  </si>
  <si>
    <t>NC_004030.2</t>
  </si>
  <si>
    <t>Neophoca cinerea</t>
  </si>
  <si>
    <t>Neophoca</t>
  </si>
  <si>
    <t>cinerea</t>
  </si>
  <si>
    <t>NC_008419.1</t>
  </si>
  <si>
    <t>Otaria byronia</t>
  </si>
  <si>
    <t>Otaria</t>
  </si>
  <si>
    <t>byronia</t>
  </si>
  <si>
    <t>NC_049152.1</t>
  </si>
  <si>
    <t>Phocarctos hookeri</t>
  </si>
  <si>
    <t>Phocarctos</t>
  </si>
  <si>
    <t>hookeri</t>
  </si>
  <si>
    <t>NC_008418.1</t>
  </si>
  <si>
    <t>Zalophus californianus</t>
  </si>
  <si>
    <t>Zalophus</t>
  </si>
  <si>
    <t>californianus</t>
  </si>
  <si>
    <t>NC_008416.1</t>
  </si>
  <si>
    <t>Zalophus japonicus</t>
  </si>
  <si>
    <t>japonicus</t>
  </si>
  <si>
    <t>NC_058016.1</t>
  </si>
  <si>
    <t>Zalophus wollebaeki</t>
  </si>
  <si>
    <t>wollebaeki</t>
  </si>
  <si>
    <t>NC_062331.1</t>
  </si>
  <si>
    <t>Odobenus rosmarus</t>
  </si>
  <si>
    <t>Odobenidae</t>
  </si>
  <si>
    <t>Odobenus</t>
  </si>
  <si>
    <t>rosmarus</t>
  </si>
  <si>
    <t>NC_004029.2</t>
  </si>
  <si>
    <t>Cystophora cristata</t>
  </si>
  <si>
    <t>Phocidae</t>
  </si>
  <si>
    <t>Cystophora</t>
  </si>
  <si>
    <t>cristata</t>
  </si>
  <si>
    <t>NC_008427.1</t>
  </si>
  <si>
    <t>Erignathus barbatus</t>
  </si>
  <si>
    <t>Erignathus</t>
  </si>
  <si>
    <t>barbatus</t>
  </si>
  <si>
    <t>NC_008426.1</t>
  </si>
  <si>
    <t>Halichoerus grypus</t>
  </si>
  <si>
    <t>Halichoerus</t>
  </si>
  <si>
    <t>grypus</t>
  </si>
  <si>
    <t>NC_001602.1</t>
  </si>
  <si>
    <t>Histriophoca fasciata</t>
  </si>
  <si>
    <t>Histriophoca</t>
  </si>
  <si>
    <t>fasciata</t>
  </si>
  <si>
    <t>NC_008428.1</t>
  </si>
  <si>
    <t>Hydrurga leptonyx</t>
  </si>
  <si>
    <t>Hydrurga</t>
  </si>
  <si>
    <t>leptonyx</t>
  </si>
  <si>
    <t>NC_008425.1</t>
  </si>
  <si>
    <t>Leptonychotes weddellii</t>
  </si>
  <si>
    <t>Leptonychotes</t>
  </si>
  <si>
    <t>weddellii</t>
  </si>
  <si>
    <t>NC_008424.1</t>
  </si>
  <si>
    <t>Lobodon carcinophaga</t>
  </si>
  <si>
    <t>Lobodon</t>
  </si>
  <si>
    <t>carcinophaga</t>
  </si>
  <si>
    <t>NC_008423.1</t>
  </si>
  <si>
    <t>Mirounga</t>
  </si>
  <si>
    <t>Mirounga leonina</t>
  </si>
  <si>
    <t>leonina</t>
  </si>
  <si>
    <t>NC_008422.1</t>
  </si>
  <si>
    <t>Monachus monachus</t>
  </si>
  <si>
    <t>Monachus</t>
  </si>
  <si>
    <t>monachus</t>
  </si>
  <si>
    <t>NC_044972.1</t>
  </si>
  <si>
    <t>Neomonachus schauinslandi</t>
  </si>
  <si>
    <t>Neomonachus</t>
  </si>
  <si>
    <t>schauinslandi</t>
  </si>
  <si>
    <t>NC_008421.1</t>
  </si>
  <si>
    <t>Pagophilus groenlandicus</t>
  </si>
  <si>
    <t>Pagophilus</t>
  </si>
  <si>
    <t>groenlandicus</t>
  </si>
  <si>
    <t>NC_008429.1</t>
  </si>
  <si>
    <t>Phoca largha</t>
  </si>
  <si>
    <t>Phoca</t>
  </si>
  <si>
    <t>largha</t>
  </si>
  <si>
    <t>NC_008430.1</t>
  </si>
  <si>
    <t>Phoca vitulina</t>
  </si>
  <si>
    <t>vitulina</t>
  </si>
  <si>
    <t>NC_001325.1</t>
  </si>
  <si>
    <t>Pusa caspica</t>
  </si>
  <si>
    <t>Pusa</t>
  </si>
  <si>
    <t>caspica</t>
  </si>
  <si>
    <t>NC_008431.1</t>
  </si>
  <si>
    <t>Pusa hispida</t>
  </si>
  <si>
    <t>hispida</t>
  </si>
  <si>
    <t>NC_008433.1</t>
  </si>
  <si>
    <t>Pusa sibirica</t>
  </si>
  <si>
    <t>sibirica</t>
  </si>
  <si>
    <t>NC_008432.1</t>
  </si>
  <si>
    <t>Ursus maritimus</t>
  </si>
  <si>
    <t>Ursidae</t>
  </si>
  <si>
    <t>Ursus</t>
  </si>
  <si>
    <t>maritimus</t>
  </si>
  <si>
    <t>NC_003428.1</t>
  </si>
  <si>
    <t>Enhydra lutris</t>
  </si>
  <si>
    <t>Mustelidae</t>
  </si>
  <si>
    <t>Enhydra</t>
  </si>
  <si>
    <t>lutris</t>
  </si>
  <si>
    <t>NC_009692.1</t>
  </si>
  <si>
    <t>Lontra felina</t>
  </si>
  <si>
    <t>Lontra</t>
  </si>
  <si>
    <t>felina</t>
  </si>
  <si>
    <t>NC_079648.1</t>
  </si>
  <si>
    <t>Hippopotamus amphibius</t>
  </si>
  <si>
    <t>Hippopotamidae</t>
  </si>
  <si>
    <t>Hippopotamus</t>
  </si>
  <si>
    <t>amphibius</t>
  </si>
  <si>
    <t>NC_000889.1</t>
  </si>
  <si>
    <t>Choeropsis liberiensis</t>
  </si>
  <si>
    <t>Choeropsis</t>
  </si>
  <si>
    <t>liberiensis</t>
  </si>
  <si>
    <t>NC_020697.1</t>
  </si>
  <si>
    <t>Bos taurus</t>
  </si>
  <si>
    <t>Bovidae</t>
  </si>
  <si>
    <t>Bos</t>
  </si>
  <si>
    <t>taurus</t>
  </si>
  <si>
    <t>NC_006853.1</t>
  </si>
  <si>
    <t>Sus scrofa</t>
  </si>
  <si>
    <t>Suidae</t>
  </si>
  <si>
    <t>Sus</t>
  </si>
  <si>
    <t>scrofa</t>
  </si>
  <si>
    <t>NC_000845.1</t>
  </si>
  <si>
    <t>Mus musculus</t>
  </si>
  <si>
    <t>Muridae</t>
  </si>
  <si>
    <t>Mus</t>
  </si>
  <si>
    <t>NC_005089.1</t>
  </si>
  <si>
    <t>Homo sapiens</t>
  </si>
  <si>
    <t>Hominidae</t>
  </si>
  <si>
    <t>Homo</t>
  </si>
  <si>
    <t>sapiens</t>
  </si>
  <si>
    <t>NC_012920.1</t>
  </si>
  <si>
    <t>Felis catus</t>
  </si>
  <si>
    <t>Felidae</t>
  </si>
  <si>
    <t>Felis</t>
  </si>
  <si>
    <t>catus</t>
  </si>
  <si>
    <t>NC_001700.1</t>
  </si>
  <si>
    <t>Canis lupus</t>
  </si>
  <si>
    <t>Canidae</t>
  </si>
  <si>
    <t>Canis</t>
  </si>
  <si>
    <t>lupus</t>
  </si>
  <si>
    <t>NC_008092.1</t>
  </si>
  <si>
    <t>AY339432</t>
  </si>
  <si>
    <t>AY339469</t>
  </si>
  <si>
    <t>AY339522.2</t>
  </si>
  <si>
    <t>AY339578.1</t>
  </si>
  <si>
    <t>Non-marine mammals</t>
  </si>
  <si>
    <t>Non-cetacea marine mammals</t>
  </si>
  <si>
    <t>Cetacea</t>
  </si>
  <si>
    <t>Table S1. List of mammal species for primer design</t>
  </si>
  <si>
    <t>Accession No.</t>
  </si>
  <si>
    <t>Artiodactyla</t>
  </si>
  <si>
    <t>Rodentia</t>
  </si>
  <si>
    <t>Primates</t>
  </si>
  <si>
    <t>Haplorrhini</t>
  </si>
  <si>
    <t>Feliformia</t>
  </si>
  <si>
    <t>Table S2. Primer sequences tested in this study</t>
  </si>
  <si>
    <t>Target taxa</t>
  </si>
  <si>
    <t>Query</t>
  </si>
  <si>
    <t>General vertebrates</t>
  </si>
  <si>
    <t>("Vertebrata"[Organism] OR "vertebrates"[All Fields]) NOT "Homo sapiens"[Organism] NOT "Canis lupus"[Organism] NOT "Gallus gallus"[Organism] NOT "Bos taurus"[Organism] NOT "Bos grunniens"[Organism] NOT "Equus caballus"[Organism] NOT "Capra hircus"[Organism] NOT "Ovis aries"[Organism] AND (biomol_genomic[PROP] AND ddbj_embl_genbank[filter] AND is_nuccore[filter] AND mitochondrion[filter] AND ("15000"[SLEN] : "30000"[SLEN]) NOT Nuclear[Title])</t>
  </si>
  <si>
    <t>Over-represented taxa</t>
  </si>
  <si>
    <t>Note</t>
  </si>
  <si>
    <t>One non-vertebrate species (algae) was manually removed from the retrieved sequences (total sequence used for the analysis was 32,321)</t>
  </si>
  <si>
    <r>
      <t xml:space="preserve">Table S3. Queries to downlod vertebrate sequences for </t>
    </r>
    <r>
      <rPr>
        <b/>
        <i/>
        <sz val="12"/>
        <color theme="1"/>
        <rFont val="Arial"/>
        <family val="2"/>
      </rPr>
      <t>in silico</t>
    </r>
    <r>
      <rPr>
        <b/>
        <sz val="12"/>
        <color theme="1"/>
        <rFont val="Arial"/>
        <family val="2"/>
      </rPr>
      <t xml:space="preserve"> PCR</t>
    </r>
  </si>
  <si>
    <t>Seqs retrieved</t>
  </si>
  <si>
    <t>Seqs used</t>
  </si>
  <si>
    <t>Gallus gallus</t>
  </si>
  <si>
    <t>Bos grunniens</t>
  </si>
  <si>
    <t>Equus caballus</t>
  </si>
  <si>
    <t>Ovis aries</t>
  </si>
  <si>
    <t>"Homo sapiens"[Organism] AND (biomol_genomic[PROP] AND ddbj_embl_genbank[filter] AND is_nuccore[filter] AND mitochondrion[filter] AND ("15000"[SLEN] : "30000"[SLEN]) NOT Nuclear[Title])</t>
  </si>
  <si>
    <t>"Canis lupus"[Organism] AND (biomol_genomic[PROP] AND ddbj_embl_genbank[filter] AND is_nuccore[filter] AND mitochondrion[filter] AND ("15000"[SLEN] : "30000"[SLEN]) NOT Nuclear[Title])</t>
  </si>
  <si>
    <t>"Bos taurus"[Organism] AND (biomol_genomic[PROP] AND ddbj_embl_genbank[filter] AND is_nuccore[filter] AND mitochondrion[filter] AND ("15000"[SLEN] : "30000"[SLEN]) NOT Nuclear[Title])</t>
  </si>
  <si>
    <t>"Gallus gallus"[Organism] AND (biomol_genomic[PROP] AND ddbj_embl_genbank[filter] AND is_nuccore[filter] AND mitochondrion[filter] AND ("15000"[SLEN] : "30000"[SLEN]) NOT Nuclear[Title])</t>
  </si>
  <si>
    <t>"Bos grunniens"[Organism] AND (biomol_genomic[PROP] AND ddbj_embl_genbank[filter] AND is_nuccore[filter] AND mitochondrion[filter] AND ("15000"[SLEN] : "30000"[SLEN]) NOT Nuclear[Title])</t>
  </si>
  <si>
    <t>"Equus caballus"[Organism] AND (biomol_genomic[PROP] AND ddbj_embl_genbank[filter] AND is_nuccore[filter] AND mitochondrion[filter] AND ("15000"[SLEN] : "30000"[SLEN]) NOT Nuclear[Title])</t>
  </si>
  <si>
    <t>"Capra hircus"[Organism] AND (biomol_genomic[PROP] AND ddbj_embl_genbank[filter] AND is_nuccore[filter] AND mitochondrion[filter] AND ("15000"[SLEN] : "30000"[SLEN]) NOT Nuclear[Title])</t>
  </si>
  <si>
    <t>"Ovis aries"[Organism] AND (biomol_genomic[PROP] AND ddbj_embl_genbank[filter] AND is_nuccore[filter] AND mitochondrion[filter] AND ("15000"[SLEN] : "30000"[SLEN]) NOT Nuclear[Title])</t>
  </si>
  <si>
    <t>Total sequences</t>
  </si>
  <si>
    <t>Capra hircus</t>
  </si>
  <si>
    <r>
      <t xml:space="preserve">Total 36,250 sequences (10,080 species) were used for </t>
    </r>
    <r>
      <rPr>
        <b/>
        <i/>
        <sz val="12"/>
        <color theme="1"/>
        <rFont val="Arial"/>
        <family val="2"/>
      </rPr>
      <t>in silico</t>
    </r>
    <r>
      <rPr>
        <b/>
        <sz val="12"/>
        <color theme="1"/>
        <rFont val="Arial"/>
        <family val="2"/>
      </rPr>
      <t xml:space="preserve"> PCR.</t>
    </r>
  </si>
  <si>
    <t>Table 2. List of cetacean species for testing cetacean primers using tissue-extracted DNA</t>
  </si>
  <si>
    <t>Kogiidae</t>
  </si>
  <si>
    <t>No</t>
  </si>
  <si>
    <t>Partial</t>
  </si>
  <si>
    <t>Accession No. (if amplified)</t>
  </si>
  <si>
    <t>✓</t>
  </si>
  <si>
    <t>Same as above</t>
  </si>
  <si>
    <t>The number of sequences of each over-represented taxon was reduced to about 500 using "seqkit sample" command.</t>
  </si>
  <si>
    <t>Table S4. List of aquarium dolphin pools for empirical validation of the primer sets</t>
  </si>
  <si>
    <t>Pool name</t>
  </si>
  <si>
    <t>Dolphin species reared</t>
  </si>
  <si>
    <t>Main pool</t>
  </si>
  <si>
    <t>Main show pool</t>
  </si>
  <si>
    <t>First compartment</t>
  </si>
  <si>
    <t>Second compartment</t>
  </si>
  <si>
    <t>Underwater show pool</t>
  </si>
  <si>
    <t>Medical treatment pool</t>
  </si>
  <si>
    <t>Reproduction pool</t>
  </si>
  <si>
    <t>North lagoon pool</t>
  </si>
  <si>
    <t>South lagoon pool</t>
  </si>
  <si>
    <r>
      <t>Total water volume (m</t>
    </r>
    <r>
      <rPr>
        <b/>
        <vertAlign val="superscript"/>
        <sz val="12"/>
        <color theme="1"/>
        <rFont val="Arial"/>
        <family val="2"/>
      </rPr>
      <t>3</t>
    </r>
    <r>
      <rPr>
        <b/>
        <sz val="12"/>
        <color theme="1"/>
        <rFont val="Arial"/>
        <family val="2"/>
      </rPr>
      <t>)</t>
    </r>
  </si>
  <si>
    <r>
      <rPr>
        <i/>
        <sz val="12"/>
        <color theme="1"/>
        <rFont val="Arial"/>
        <family val="2"/>
      </rPr>
      <t>Pseudorca crassidens</t>
    </r>
    <r>
      <rPr>
        <sz val="12"/>
        <color theme="1"/>
        <rFont val="Arial"/>
        <family val="2"/>
      </rPr>
      <t xml:space="preserve"> (× 3)
</t>
    </r>
    <r>
      <rPr>
        <i/>
        <sz val="12"/>
        <color theme="1"/>
        <rFont val="Arial"/>
        <family val="2"/>
      </rPr>
      <t>Tursiops truncatus</t>
    </r>
    <r>
      <rPr>
        <sz val="12"/>
        <color theme="1"/>
        <rFont val="Arial"/>
        <family val="2"/>
      </rPr>
      <t xml:space="preserve"> (× 2)</t>
    </r>
  </si>
  <si>
    <r>
      <rPr>
        <i/>
        <sz val="12"/>
        <color theme="1"/>
        <rFont val="Arial"/>
        <family val="2"/>
      </rPr>
      <t>Pseudorca crassidens</t>
    </r>
    <r>
      <rPr>
        <sz val="12"/>
        <color theme="1"/>
        <rFont val="Arial"/>
        <family val="2"/>
      </rPr>
      <t xml:space="preserve"> (× 2)
</t>
    </r>
    <r>
      <rPr>
        <i/>
        <sz val="12"/>
        <color theme="1"/>
        <rFont val="Arial"/>
        <family val="2"/>
      </rPr>
      <t>Tursiops truncatus</t>
    </r>
    <r>
      <rPr>
        <sz val="12"/>
        <color theme="1"/>
        <rFont val="Arial"/>
        <family val="2"/>
      </rPr>
      <t xml:space="preserve"> (× 3)</t>
    </r>
  </si>
  <si>
    <r>
      <rPr>
        <i/>
        <sz val="12"/>
        <color theme="1"/>
        <rFont val="Arial"/>
        <family val="2"/>
      </rPr>
      <t>Tursiops aduncus</t>
    </r>
    <r>
      <rPr>
        <sz val="12"/>
        <color theme="1"/>
        <rFont val="Arial"/>
        <family val="2"/>
      </rPr>
      <t xml:space="preserve"> (× 1)</t>
    </r>
  </si>
  <si>
    <r>
      <rPr>
        <i/>
        <sz val="12"/>
        <color theme="1"/>
        <rFont val="Arial"/>
        <family val="2"/>
      </rPr>
      <t>Pseudorca crassidens</t>
    </r>
    <r>
      <rPr>
        <sz val="12"/>
        <color theme="1"/>
        <rFont val="Arial"/>
        <family val="2"/>
      </rPr>
      <t xml:space="preserve"> (× 2)
</t>
    </r>
    <r>
      <rPr>
        <i/>
        <sz val="12"/>
        <color theme="1"/>
        <rFont val="Arial"/>
        <family val="2"/>
      </rPr>
      <t>Tursiops truncatus</t>
    </r>
    <r>
      <rPr>
        <sz val="12"/>
        <color theme="1"/>
        <rFont val="Arial"/>
        <family val="2"/>
      </rPr>
      <t xml:space="preserve"> (× 1)
</t>
    </r>
    <r>
      <rPr>
        <i/>
        <sz val="12"/>
        <color theme="1"/>
        <rFont val="Arial"/>
        <family val="2"/>
      </rPr>
      <t>Tursiops aduncus</t>
    </r>
    <r>
      <rPr>
        <sz val="12"/>
        <color theme="1"/>
        <rFont val="Arial"/>
        <family val="2"/>
      </rPr>
      <t xml:space="preserve"> (× 1)</t>
    </r>
  </si>
  <si>
    <r>
      <rPr>
        <i/>
        <sz val="12"/>
        <color theme="1"/>
        <rFont val="Arial"/>
        <family val="2"/>
      </rPr>
      <t>Tursiops aduncus</t>
    </r>
    <r>
      <rPr>
        <sz val="12"/>
        <color theme="1"/>
        <rFont val="Arial"/>
        <family val="2"/>
      </rPr>
      <t xml:space="preserve"> (× 2)
</t>
    </r>
    <r>
      <rPr>
        <i/>
        <sz val="12"/>
        <color theme="1"/>
        <rFont val="Arial"/>
        <family val="2"/>
      </rPr>
      <t>Feresa attenuata</t>
    </r>
    <r>
      <rPr>
        <sz val="12"/>
        <color theme="1"/>
        <rFont val="Arial"/>
        <family val="2"/>
      </rPr>
      <t xml:space="preserve"> (× 1)</t>
    </r>
  </si>
  <si>
    <r>
      <rPr>
        <i/>
        <sz val="12"/>
        <color theme="1"/>
        <rFont val="Arial"/>
        <family val="2"/>
      </rPr>
      <t>Steno bredanensis</t>
    </r>
    <r>
      <rPr>
        <sz val="12"/>
        <color theme="1"/>
        <rFont val="Arial"/>
        <family val="2"/>
      </rPr>
      <t xml:space="preserve"> (× 2)</t>
    </r>
  </si>
  <si>
    <r>
      <rPr>
        <i/>
        <sz val="12"/>
        <color theme="1"/>
        <rFont val="Arial"/>
        <family val="2"/>
      </rPr>
      <t>Pseudorca crassidens</t>
    </r>
    <r>
      <rPr>
        <sz val="12"/>
        <color theme="1"/>
        <rFont val="Arial"/>
        <family val="2"/>
      </rPr>
      <t xml:space="preserve"> (× 2)
</t>
    </r>
    <r>
      <rPr>
        <i/>
        <sz val="12"/>
        <color theme="1"/>
        <rFont val="Arial"/>
        <family val="2"/>
      </rPr>
      <t>Tursiops truncatus</t>
    </r>
    <r>
      <rPr>
        <sz val="12"/>
        <color theme="1"/>
        <rFont val="Arial"/>
        <family val="2"/>
      </rPr>
      <t xml:space="preserve"> × </t>
    </r>
    <r>
      <rPr>
        <i/>
        <sz val="12"/>
        <color theme="1"/>
        <rFont val="Arial"/>
        <family val="2"/>
      </rPr>
      <t>aduncus</t>
    </r>
    <r>
      <rPr>
        <sz val="12"/>
        <color theme="1"/>
        <rFont val="Arial"/>
        <family val="2"/>
      </rPr>
      <t xml:space="preserve"> (× 1)</t>
    </r>
  </si>
  <si>
    <t>The number of samples collected</t>
  </si>
  <si>
    <t>Table S5. Primer sets for the Illumina library preparation</t>
  </si>
  <si>
    <t>Primer name</t>
  </si>
  <si>
    <t>Primer sequence</t>
  </si>
  <si>
    <t>1st PCR</t>
  </si>
  <si>
    <t>2nd PCR</t>
  </si>
  <si>
    <t>2nd PCR primer F</t>
  </si>
  <si>
    <t>2nd PCR primer R</t>
  </si>
  <si>
    <t>Method name</t>
  </si>
  <si>
    <t>Normal 2-step PCR</t>
  </si>
  <si>
    <t>Early-pooling protocol</t>
  </si>
  <si>
    <t>Analyzed samples</t>
  </si>
  <si>
    <t>Aquarium and natural seawater samples</t>
  </si>
  <si>
    <t>Natural positive control samples</t>
  </si>
  <si>
    <t>All samples</t>
  </si>
  <si>
    <r>
      <rPr>
        <sz val="12"/>
        <color rgb="FF0070C0"/>
        <rFont val="Arial"/>
        <family val="2"/>
      </rPr>
      <t>GTGACTGGAGTTCAGACGTGTGCTCTTCCGATCT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TYAATCGTATGACCGCGGTG</t>
    </r>
  </si>
  <si>
    <r>
      <rPr>
        <sz val="12"/>
        <color rgb="FF0070C0"/>
        <rFont val="Arial"/>
        <family val="2"/>
      </rPr>
      <t>ACACTCTTTCCCTACACGACGCTCTTCCGATCT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GACACTGAAAATGTCTAGATGG</t>
    </r>
  </si>
  <si>
    <r>
      <rPr>
        <sz val="12"/>
        <color rgb="FF0070C0"/>
        <rFont val="Arial"/>
        <family val="2"/>
      </rPr>
      <t>ACACTCTTTCCCTACACGACGCTCTTCCGATCT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GCTACTYCAGTCTATATACC</t>
    </r>
  </si>
  <si>
    <r>
      <rPr>
        <sz val="12"/>
        <color rgb="FF0070C0"/>
        <rFont val="Arial"/>
        <family val="2"/>
      </rPr>
      <t>GTGACTGGAGTTCAGACGTGTGCTCTTCCGATCT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CACACYTTCCRGTAYGCTTACC</t>
    </r>
  </si>
  <si>
    <r>
      <rPr>
        <sz val="12"/>
        <color rgb="FF0070C0"/>
        <rFont val="Arial"/>
        <family val="2"/>
      </rPr>
      <t>ACACTCTTTCCCTACACGACGCTCTTCCGATCT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ATGAAYGGCCACACGAGGGTTTTA</t>
    </r>
  </si>
  <si>
    <r>
      <rPr>
        <sz val="12"/>
        <color rgb="FF0070C0"/>
        <rFont val="Arial"/>
        <family val="2"/>
      </rPr>
      <t>GTGACTGGAGTTCAGACGTGTGCTCTTCCGATCT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TGTCCTGATCCAACATCGAGG</t>
    </r>
  </si>
  <si>
    <r>
      <rPr>
        <sz val="12"/>
        <color rgb="FF0070C0"/>
        <rFont val="Arial"/>
        <family val="2"/>
      </rPr>
      <t>ACACTCTTTCCCTACACGACGCTCTTCCGATCT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CTGACTTCCAATCAGTTRGTTTCGG</t>
    </r>
  </si>
  <si>
    <r>
      <rPr>
        <sz val="12"/>
        <color rgb="FF0070C0"/>
        <rFont val="Arial"/>
        <family val="2"/>
      </rPr>
      <t>GTGACTGGAGTTCAGACGTGTGCTCTTCCGATCT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CATTCTARRCCYTYTTGRG</t>
    </r>
  </si>
  <si>
    <r>
      <rPr>
        <sz val="12"/>
        <color rgb="FF0070C0"/>
        <rFont val="Arial"/>
        <family val="2"/>
      </rPr>
      <t>ACACTCTTTCCCTACACGACGCTCTTCCGATCT</t>
    </r>
    <r>
      <rPr>
        <sz val="12"/>
        <color theme="1"/>
        <rFont val="Arial"/>
        <family val="2"/>
      </rPr>
      <t xml:space="preserve"> XXXXXXXX </t>
    </r>
    <r>
      <rPr>
        <b/>
        <sz val="12"/>
        <color theme="1"/>
        <rFont val="Arial"/>
        <family val="2"/>
      </rPr>
      <t>GACACTGAAAATGTCTAGATGG</t>
    </r>
  </si>
  <si>
    <r>
      <rPr>
        <sz val="12"/>
        <color rgb="FF0070C0"/>
        <rFont val="Arial"/>
        <family val="2"/>
      </rPr>
      <t>GTGACTGGAGTTCAGACGTGTGCTCTTCCGATCT</t>
    </r>
    <r>
      <rPr>
        <sz val="12"/>
        <color theme="1"/>
        <rFont val="Arial"/>
        <family val="2"/>
      </rPr>
      <t xml:space="preserve"> XXXXXXXX </t>
    </r>
    <r>
      <rPr>
        <b/>
        <sz val="12"/>
        <color theme="1"/>
        <rFont val="Arial"/>
        <family val="2"/>
      </rPr>
      <t>TYAATCGTATGACCGCGGTG</t>
    </r>
  </si>
  <si>
    <t>Final amplicon size (bp)</t>
  </si>
  <si>
    <r>
      <rPr>
        <b/>
        <sz val="12"/>
        <color theme="1"/>
        <rFont val="Arial"/>
        <family val="2"/>
      </rPr>
      <t>Bold</t>
    </r>
    <r>
      <rPr>
        <sz val="12"/>
        <color theme="1"/>
        <rFont val="Arial"/>
        <family val="2"/>
      </rPr>
      <t xml:space="preserve"> characters indicate primer sequences.</t>
    </r>
  </si>
  <si>
    <t>"X" indicates 1st PCR "tagged" sequences to enable early-pooling (i.e., pooling samples after the 1st PCR).</t>
  </si>
  <si>
    <r>
      <rPr>
        <u/>
        <sz val="12"/>
        <color theme="1"/>
        <rFont val="Arial"/>
        <family val="2"/>
      </rPr>
      <t>AATGATACGGCGACCACCGAGATCTACAC</t>
    </r>
    <r>
      <rPr>
        <sz val="12"/>
        <color theme="1"/>
        <rFont val="Arial"/>
        <family val="2"/>
      </rPr>
      <t xml:space="preserve"> YYYYYYYY </t>
    </r>
    <r>
      <rPr>
        <sz val="12"/>
        <color rgb="FF0070C0"/>
        <rFont val="Arial"/>
        <family val="2"/>
      </rPr>
      <t>ACACTCTTTCCCTACACGACGCTCTTCCGATCT</t>
    </r>
  </si>
  <si>
    <r>
      <rPr>
        <u/>
        <sz val="12"/>
        <color theme="1"/>
        <rFont val="Arial"/>
        <family val="2"/>
      </rPr>
      <t>CAAGCAGAAGACGGCATACGAGAT</t>
    </r>
    <r>
      <rPr>
        <sz val="12"/>
        <color theme="1"/>
        <rFont val="Arial"/>
        <family val="2"/>
      </rPr>
      <t xml:space="preserve"> YYYYYYYY </t>
    </r>
    <r>
      <rPr>
        <sz val="12"/>
        <color rgb="FF0070C0"/>
        <rFont val="Arial"/>
        <family val="2"/>
      </rPr>
      <t>GTGACTGGAGTTCAGACGTGTGCTCTTCCGATCT</t>
    </r>
  </si>
  <si>
    <r>
      <rPr>
        <sz val="12"/>
        <color rgb="FF0070C0"/>
        <rFont val="Arial"/>
        <family val="2"/>
      </rPr>
      <t>Blue</t>
    </r>
    <r>
      <rPr>
        <sz val="12"/>
        <color theme="1"/>
        <rFont val="Arial"/>
        <family val="2"/>
      </rPr>
      <t xml:space="preserve"> characters indicate the Illumina sequencing primers.</t>
    </r>
  </si>
  <si>
    <r>
      <rPr>
        <u/>
        <sz val="12"/>
        <color theme="1"/>
        <rFont val="Arial"/>
        <family val="2"/>
      </rPr>
      <t>Underlined</t>
    </r>
    <r>
      <rPr>
        <sz val="12"/>
        <color theme="1"/>
        <rFont val="Arial"/>
        <family val="2"/>
      </rPr>
      <t xml:space="preserve"> characters indicate P5/P7 adapter sequences for Illumina sequencing.</t>
    </r>
  </si>
  <si>
    <t>"Y" indicates index sequences appended in the 2nd PCR.</t>
  </si>
  <si>
    <t>Mu31F
 + Dc320R</t>
  </si>
  <si>
    <t>Megaptera novaeangliae</t>
    <phoneticPr fontId="3"/>
  </si>
  <si>
    <t>Globicephala macrorhynchus</t>
    <phoneticPr fontId="3"/>
  </si>
  <si>
    <t>Grampus griseus</t>
    <phoneticPr fontId="3"/>
  </si>
  <si>
    <t>Lagenodelphis hosei </t>
    <phoneticPr fontId="3"/>
  </si>
  <si>
    <t>Peponocephala electra</t>
    <phoneticPr fontId="3"/>
  </si>
  <si>
    <t>Pseudorca crassidens</t>
    <phoneticPr fontId="3"/>
  </si>
  <si>
    <t>Stenella attenuata</t>
    <phoneticPr fontId="3"/>
  </si>
  <si>
    <t>Stenella coeruleoalba</t>
    <phoneticPr fontId="6"/>
  </si>
  <si>
    <t>Steno bredanensis</t>
    <phoneticPr fontId="3"/>
  </si>
  <si>
    <t>Tursiops aduncus</t>
    <phoneticPr fontId="6"/>
  </si>
  <si>
    <t>Tursiops truncatus</t>
    <phoneticPr fontId="3"/>
  </si>
  <si>
    <t>Kogia breviceps</t>
    <phoneticPr fontId="6"/>
  </si>
  <si>
    <t>Kogia sima</t>
    <phoneticPr fontId="3"/>
  </si>
  <si>
    <t>Physeter macrocephalus</t>
    <phoneticPr fontId="3"/>
  </si>
  <si>
    <t>Ziphius cavirostris</t>
    <phoneticPr fontId="3"/>
  </si>
  <si>
    <t>Indopacetus pacificus</t>
    <phoneticPr fontId="3"/>
  </si>
  <si>
    <t>Mesoplodon densirostris</t>
    <phoneticPr fontId="3"/>
  </si>
  <si>
    <t>Mesoplodon ginkgodens</t>
    <phoneticPr fontId="3"/>
  </si>
  <si>
    <t>Primers</t>
  </si>
  <si>
    <t>Natural "positive" samples</t>
  </si>
  <si>
    <t>Pool + HK water pilot samples</t>
  </si>
  <si>
    <t>Samples</t>
  </si>
  <si>
    <t>%</t>
  </si>
  <si>
    <t>After DADA2 processing</t>
  </si>
  <si>
    <t>Overall Q30</t>
  </si>
  <si>
    <t>Total reads</t>
  </si>
  <si>
    <t>250PE</t>
  </si>
  <si>
    <t>150PE</t>
  </si>
  <si>
    <t>250 PE</t>
  </si>
  <si>
    <t>Seq mode</t>
  </si>
  <si>
    <t>NovaSeq</t>
  </si>
  <si>
    <t>iSeq</t>
  </si>
  <si>
    <t>Platform</t>
  </si>
  <si>
    <t>Sequencing 3</t>
  </si>
  <si>
    <t>Sequencing 2</t>
  </si>
  <si>
    <t>Sequencing 1</t>
  </si>
  <si>
    <t>Total</t>
  </si>
  <si>
    <t>S014</t>
  </si>
  <si>
    <t>S013</t>
  </si>
  <si>
    <t>S008</t>
  </si>
  <si>
    <t>S007</t>
  </si>
  <si>
    <t>S006</t>
  </si>
  <si>
    <t>S005</t>
  </si>
  <si>
    <t>S004</t>
  </si>
  <si>
    <t>S003</t>
  </si>
  <si>
    <t>S002</t>
  </si>
  <si>
    <t>S001</t>
  </si>
  <si>
    <t>prop.last.first.</t>
  </si>
  <si>
    <t>nonchim</t>
  </si>
  <si>
    <t>tabled</t>
  </si>
  <si>
    <t>merged</t>
  </si>
  <si>
    <t>denoised</t>
  </si>
  <si>
    <t>filtered</t>
  </si>
  <si>
    <t>input</t>
  </si>
  <si>
    <t>DADA2 tracking</t>
  </si>
  <si>
    <t>Sequence reads after DADA2 processing</t>
  </si>
  <si>
    <t>S016</t>
  </si>
  <si>
    <t>NA</t>
  </si>
  <si>
    <t>S015</t>
  </si>
  <si>
    <t>S012</t>
  </si>
  <si>
    <t>S011</t>
  </si>
  <si>
    <t>S010</t>
  </si>
  <si>
    <t>S009</t>
  </si>
  <si>
    <t>Q30(%)</t>
  </si>
  <si>
    <t>num_seqs</t>
  </si>
  <si>
    <t>file</t>
  </si>
  <si>
    <t>Run 3</t>
  </si>
  <si>
    <t>Run 2</t>
  </si>
  <si>
    <t>Run 1</t>
  </si>
  <si>
    <t>Sequence reads</t>
  </si>
  <si>
    <t>Sequence reads after initial quality filtering and primer trimming</t>
  </si>
  <si>
    <t>reads</t>
  </si>
  <si>
    <t>Total sequence reads before processing (Run 1 + 2 + 3)</t>
  </si>
  <si>
    <t>S031</t>
  </si>
  <si>
    <t>S030</t>
  </si>
  <si>
    <t>S028</t>
  </si>
  <si>
    <t>S027</t>
  </si>
  <si>
    <t>S026</t>
  </si>
  <si>
    <t>S025</t>
  </si>
  <si>
    <t>S024</t>
  </si>
  <si>
    <t>S023</t>
  </si>
  <si>
    <t>S022</t>
  </si>
  <si>
    <t>S021</t>
  </si>
  <si>
    <t>S020</t>
  </si>
  <si>
    <t>S019</t>
  </si>
  <si>
    <t>S018</t>
  </si>
  <si>
    <t>S017</t>
  </si>
  <si>
    <t>S032</t>
  </si>
  <si>
    <t>S029</t>
  </si>
  <si>
    <t>S047</t>
  </si>
  <si>
    <t>S046</t>
  </si>
  <si>
    <t>S045</t>
  </si>
  <si>
    <t>S044</t>
  </si>
  <si>
    <t>S043</t>
  </si>
  <si>
    <t>S042</t>
  </si>
  <si>
    <t>S041</t>
  </si>
  <si>
    <t>S040</t>
  </si>
  <si>
    <t>S039</t>
  </si>
  <si>
    <t>S038</t>
  </si>
  <si>
    <t>S037</t>
  </si>
  <si>
    <t>S036</t>
  </si>
  <si>
    <t>S035</t>
  </si>
  <si>
    <t>S034</t>
  </si>
  <si>
    <t>S033</t>
  </si>
  <si>
    <t>S048</t>
  </si>
  <si>
    <t>S056</t>
  </si>
  <si>
    <t>S055</t>
  </si>
  <si>
    <t>S054</t>
  </si>
  <si>
    <t>S053</t>
  </si>
  <si>
    <t>S052</t>
  </si>
  <si>
    <t>S051</t>
  </si>
  <si>
    <t>S050</t>
  </si>
  <si>
    <t>S049</t>
  </si>
  <si>
    <t>S064</t>
  </si>
  <si>
    <t>S063</t>
  </si>
  <si>
    <t>S062</t>
  </si>
  <si>
    <t>S061</t>
  </si>
  <si>
    <t>S060</t>
  </si>
  <si>
    <t>S059</t>
  </si>
  <si>
    <t>S058</t>
  </si>
  <si>
    <t>S057</t>
  </si>
  <si>
    <t>R012</t>
  </si>
  <si>
    <t>R010</t>
  </si>
  <si>
    <t>R009</t>
  </si>
  <si>
    <t>R008</t>
  </si>
  <si>
    <t>R007</t>
  </si>
  <si>
    <t>R006</t>
  </si>
  <si>
    <t>R005</t>
  </si>
  <si>
    <t>R004</t>
  </si>
  <si>
    <t>R003</t>
  </si>
  <si>
    <t>R002</t>
  </si>
  <si>
    <t>R001</t>
  </si>
  <si>
    <t>R011</t>
  </si>
  <si>
    <t>Total sequence reads before processing</t>
  </si>
  <si>
    <t>R024</t>
  </si>
  <si>
    <t>R022</t>
  </si>
  <si>
    <t>R021</t>
  </si>
  <si>
    <t>R020</t>
  </si>
  <si>
    <t>R019</t>
  </si>
  <si>
    <t>R018</t>
  </si>
  <si>
    <t>R017</t>
  </si>
  <si>
    <t>R016</t>
  </si>
  <si>
    <t>R015</t>
  </si>
  <si>
    <t>R014</t>
  </si>
  <si>
    <t>R013</t>
  </si>
  <si>
    <t>R023</t>
  </si>
  <si>
    <t>Table S6. Sequence summary statistics</t>
  </si>
  <si>
    <t>T008</t>
  </si>
  <si>
    <t>T007</t>
  </si>
  <si>
    <t>T006</t>
  </si>
  <si>
    <t>T005</t>
  </si>
  <si>
    <t>T004</t>
  </si>
  <si>
    <t>T003</t>
  </si>
  <si>
    <t>T002</t>
  </si>
  <si>
    <t>T001</t>
  </si>
  <si>
    <t>S. chinensis</t>
  </si>
  <si>
    <t>OTU assignment</t>
  </si>
  <si>
    <t>nc</t>
  </si>
  <si>
    <t>PCR_nc02</t>
  </si>
  <si>
    <t>PCR_nc01</t>
  </si>
  <si>
    <t>sample</t>
  </si>
  <si>
    <t>BT2</t>
  </si>
  <si>
    <t>DNAex_nc02</t>
  </si>
  <si>
    <t>DNAex_nc01</t>
  </si>
  <si>
    <t>OP03_nc</t>
  </si>
  <si>
    <t>OP02</t>
  </si>
  <si>
    <t>OP01</t>
  </si>
  <si>
    <t>Ch10_nc</t>
  </si>
  <si>
    <t>Ch09</t>
  </si>
  <si>
    <t>Ch08</t>
  </si>
  <si>
    <t>Ch06-07</t>
  </si>
  <si>
    <t>Ch05</t>
  </si>
  <si>
    <t>Ch04</t>
  </si>
  <si>
    <t>Ch03</t>
  </si>
  <si>
    <t>Ch01-02</t>
  </si>
  <si>
    <t>ASV00145</t>
  </si>
  <si>
    <t>ASV00144</t>
  </si>
  <si>
    <t>ASV00143</t>
  </si>
  <si>
    <t>ASV00142</t>
  </si>
  <si>
    <t>ASV00141</t>
  </si>
  <si>
    <t>ASV00140</t>
  </si>
  <si>
    <t>ASV00139</t>
  </si>
  <si>
    <t>ASV00138</t>
  </si>
  <si>
    <t>ASV00137</t>
  </si>
  <si>
    <t>ASV00136</t>
  </si>
  <si>
    <t>ASV00135</t>
  </si>
  <si>
    <t>ASV00134</t>
  </si>
  <si>
    <t>ASV00133</t>
  </si>
  <si>
    <t>ASV00132</t>
  </si>
  <si>
    <t>ASV00131</t>
  </si>
  <si>
    <t>ASV00130</t>
  </si>
  <si>
    <t>ASV00129</t>
  </si>
  <si>
    <t>ASV00128</t>
  </si>
  <si>
    <t>ASV00127</t>
  </si>
  <si>
    <t>ASV00126</t>
  </si>
  <si>
    <t>ASV00125</t>
  </si>
  <si>
    <t>ASV00124</t>
  </si>
  <si>
    <t>ASV00123</t>
  </si>
  <si>
    <t>ASV00122</t>
  </si>
  <si>
    <t>ASV00121</t>
  </si>
  <si>
    <t>ASV00120</t>
  </si>
  <si>
    <t>ASV00119</t>
  </si>
  <si>
    <t>ASV00118</t>
  </si>
  <si>
    <t>ASV00117</t>
  </si>
  <si>
    <t>ASV00116</t>
  </si>
  <si>
    <t>ASV00115</t>
  </si>
  <si>
    <t>ASV00114</t>
  </si>
  <si>
    <t>ASV00113</t>
  </si>
  <si>
    <t>ASV00112</t>
  </si>
  <si>
    <t>ASV00111</t>
  </si>
  <si>
    <t>ASV00110</t>
  </si>
  <si>
    <t>ASV00109</t>
  </si>
  <si>
    <t>ASV00108</t>
  </si>
  <si>
    <t>ASV00107</t>
  </si>
  <si>
    <t>ASV00106</t>
  </si>
  <si>
    <t>ASV00105</t>
  </si>
  <si>
    <t>ASV00104</t>
  </si>
  <si>
    <t>ASV00103</t>
  </si>
  <si>
    <t>ASV00102</t>
  </si>
  <si>
    <t>ASV00101</t>
  </si>
  <si>
    <t>ASV00100</t>
  </si>
  <si>
    <t>ASV00099</t>
  </si>
  <si>
    <t>ASV00098</t>
  </si>
  <si>
    <t>ASV00097</t>
  </si>
  <si>
    <t>ASV00096</t>
  </si>
  <si>
    <t>ASV00095</t>
  </si>
  <si>
    <t>ASV00094</t>
  </si>
  <si>
    <t>ASV00093</t>
  </si>
  <si>
    <t>ASV00092</t>
  </si>
  <si>
    <t>ASV00091</t>
  </si>
  <si>
    <t>ASV00090</t>
  </si>
  <si>
    <t>ASV00089</t>
  </si>
  <si>
    <t>ASV00088</t>
  </si>
  <si>
    <t>ASV00087</t>
  </si>
  <si>
    <t>ASV00086</t>
  </si>
  <si>
    <t>ASV00085</t>
  </si>
  <si>
    <t>ASV00084</t>
  </si>
  <si>
    <t>ASV00083</t>
  </si>
  <si>
    <t>ASV00082</t>
  </si>
  <si>
    <t>ASV00081</t>
  </si>
  <si>
    <t>ASV00080</t>
  </si>
  <si>
    <t>ASV00079</t>
  </si>
  <si>
    <t>ASV00078</t>
  </si>
  <si>
    <t>ASV00077</t>
  </si>
  <si>
    <t>ASV00076</t>
  </si>
  <si>
    <t>ASV00075</t>
  </si>
  <si>
    <t>ASV00074</t>
  </si>
  <si>
    <t>ASV00073</t>
  </si>
  <si>
    <t>ASV00072</t>
  </si>
  <si>
    <t>ASV00071</t>
  </si>
  <si>
    <t>ASV00070</t>
  </si>
  <si>
    <t>ASV00069</t>
  </si>
  <si>
    <t>ASV00068</t>
  </si>
  <si>
    <t>ASV00067</t>
  </si>
  <si>
    <t>ASV00066</t>
  </si>
  <si>
    <t>ASV00065</t>
  </si>
  <si>
    <t>ASV00064</t>
  </si>
  <si>
    <t>ASV00063</t>
  </si>
  <si>
    <t>ASV00062</t>
  </si>
  <si>
    <t>ASV00061</t>
  </si>
  <si>
    <t>ASV00060</t>
  </si>
  <si>
    <t>ASV00059</t>
  </si>
  <si>
    <t>ASV00058</t>
  </si>
  <si>
    <t>ASV00057</t>
  </si>
  <si>
    <t>ASV00056</t>
  </si>
  <si>
    <t>ASV00055</t>
  </si>
  <si>
    <t>ASV00054</t>
  </si>
  <si>
    <t>ASV00053</t>
  </si>
  <si>
    <t>ASV00052</t>
  </si>
  <si>
    <t>ASV00051</t>
  </si>
  <si>
    <t>ASV00050</t>
  </si>
  <si>
    <t>ASV00049</t>
  </si>
  <si>
    <t>ASV00048</t>
  </si>
  <si>
    <t>ASV00047</t>
  </si>
  <si>
    <t>ASV00046</t>
  </si>
  <si>
    <t>ASV00045</t>
  </si>
  <si>
    <t>ASV00044</t>
  </si>
  <si>
    <t>ASV00043</t>
  </si>
  <si>
    <t>ASV00042</t>
  </si>
  <si>
    <t>ASV00041</t>
  </si>
  <si>
    <t>ASV00040</t>
  </si>
  <si>
    <t>ASV00039</t>
  </si>
  <si>
    <t>ASV00038</t>
  </si>
  <si>
    <t>ASV00037</t>
  </si>
  <si>
    <t>ASV00036</t>
  </si>
  <si>
    <t>ASV00035</t>
  </si>
  <si>
    <t>ASV00034</t>
  </si>
  <si>
    <t>ASV00033</t>
  </si>
  <si>
    <t>ASV00032</t>
  </si>
  <si>
    <t>ASV00031</t>
  </si>
  <si>
    <t>ASV00030</t>
  </si>
  <si>
    <t>ASV00029</t>
  </si>
  <si>
    <t>ASV00028</t>
  </si>
  <si>
    <t>ASV00027</t>
  </si>
  <si>
    <t>ASV00026</t>
  </si>
  <si>
    <t>ASV00025</t>
  </si>
  <si>
    <t>ASV00024</t>
  </si>
  <si>
    <t>ASV00023</t>
  </si>
  <si>
    <t>ASV00022</t>
  </si>
  <si>
    <t>ASV00021</t>
  </si>
  <si>
    <t>ASV00020</t>
  </si>
  <si>
    <t>ASV00019</t>
  </si>
  <si>
    <t>ASV00018</t>
  </si>
  <si>
    <t>ASV00017</t>
  </si>
  <si>
    <t>ASV00016</t>
  </si>
  <si>
    <t>ASV00015</t>
  </si>
  <si>
    <t>ASV00014</t>
  </si>
  <si>
    <t>ASV00013</t>
  </si>
  <si>
    <t>ASV00012</t>
  </si>
  <si>
    <t>ASV00011</t>
  </si>
  <si>
    <t>ASV00010</t>
  </si>
  <si>
    <t>ASV00009</t>
  </si>
  <si>
    <t>ASV00008</t>
  </si>
  <si>
    <t>ASV00007</t>
  </si>
  <si>
    <t>ASV00006</t>
  </si>
  <si>
    <t>ASV00005</t>
  </si>
  <si>
    <t>ASV00004</t>
  </si>
  <si>
    <t>ASV00003</t>
  </si>
  <si>
    <t>ASV00002</t>
  </si>
  <si>
    <t>ASV00001</t>
  </si>
  <si>
    <t>total reads</t>
  </si>
  <si>
    <t>Primer</t>
  </si>
  <si>
    <t>lat</t>
  </si>
  <si>
    <t>lon</t>
  </si>
  <si>
    <t>sample_or_nc</t>
  </si>
  <si>
    <t>Sample</t>
  </si>
  <si>
    <t>Sample_ID</t>
  </si>
  <si>
    <t>CATTACTGCCCCATCAACATAAAGGTTTGGTCCTAGCCTTTCTATTAATTCTTAGCAGACTTACACATGCAAGCATCCGCATCCCAGTGAGAATGCCCTCCAAATCACTAAAGACTAAAAGGAGCGGGCATCAAGCACACTATACCAGTAGCTCATAACGCCTTGCTTAGCCACACCCCCACGGGATACAGCAGTGACAAGAATTAGGCTATGAGCGAAAGTTTGACCTAGCCATGCTAATTAGGGTTGGTAAACTTCGTGCCAGC</t>
  </si>
  <si>
    <t>GCATTATTGCCCCGTCAACATAAAGGTTTGGTCCTGGCCTTTCTATTAATTCTTAGCAGACTTACACATGCAAGCATCCGCATCCCAGTGAGAATGCCCTTCAAACCATTAAAGACTAAAAGGAGCGGGCATCAAGCACACTACACTAGTAGCTCAAAACGCCTTGCTTAGCCACACCCCCACGGGATACAGCAGTGACAAGAATTAGGCTATGAACGAAAGTTTGACCTAGCCATGCTAATTAGGGTTGGTAAACTTCGTGCCAGC</t>
  </si>
  <si>
    <t>GCATTATTGCCCCGTCAACATAAAGGTTTGGTCCTGGCCTTTCTATTAGTTCTTGGCAGACTTACACATGCAAGCATCCGCATCCCAGTGAGAATGCCCTCCGAATCATTAAAGACTAAGAGGAGCGGACATCAAGCACACTACACCAGTAGCTCATAACGCCTTGCTTAGCCACACCCCCACGGGATACAGCAGTGACAAGAATTAGGCTATGAACGAAAGTTTGACCTAGTTATGCTGATTAGGGTTGGTAAATTTCGTGCCAGC</t>
  </si>
  <si>
    <t>GCATTATTGCCCCGTCAACATAAAGGTTTGGTCCTGGCCTTTCTATTAGTTCTTAGCAGATTTACACATGCAAGCATCCGCATCCCAGTGAGAATGCCCTTCAAACCATTAAAGACTAAAAGGAGCGGGCATCAAGCACACTACACTAGTAGCTCAAAACGCCTTGCTTAGCCACACCCCCACGGGATACAGCAGTGACAAGAATTAGGCTATGAACGAAAGTTTGACCTAGCCATGCTAATTAGGGTTGGTAAACTTCGTGCCAGC</t>
  </si>
  <si>
    <t>GTCCACACCACCCGATGAACAGATAGGTTTTGTCCTGGCCTTTTTATTAGCTCTTAGTAAGATTAAACATGCAAGCTTCCCTGCCCCAGTGAAAATCCCCTCTAGATCACCGGGTCAAAAGGAGCAGGTATCAAGCACGCACGAATGCAGCTCAAAACACTTTGTTAACCACACCCCCACCGGAAACAGCGGTGATAAATCTTTAGTAATAAATGAAAGTTTGACTAAGCTATACTAATGTTAAGCGTTGGTTAATTTCGTGCCAGC</t>
  </si>
  <si>
    <t>GCATTATTGCCCCATCAACATAAAGGTTTGGTCCTGGCCTTTCTATTAATTCTTAGCAGACTTACACATGCAAGCATCCGCATCCCAGTGAGAATGCCCTTCAAACCATTAAAGACTAAAAGGAGCGGGCATCAAGCACACTACACTAGTAGCTCAAAACGCCTTGCTTAGCCACACCCCCACGGGATACAGCAGTGACAAGAATTAGGCTATGAACGAAAGTTTGACCTAGCCATGCTAATTAGGGTTGGTAAACTTCGTGCCAGC</t>
  </si>
  <si>
    <t>GCATTATTGCCCCATCAACACAAAGGTTTGGTCCTGGCCTTTCTATTAGTTCTTGGCAGACTTACACATGCAAGCATCCGCATCCCAGTGAGAATGCCCTCCAAATCACTAAAGACTAAAAGGAGCGGGCATCAAGCACACTATACCAGTAGCTCATAACGCCTTGCTTAGCCACACCCCCACGGGATACAGCAGTGACAAAAATTAGGCTATGAACGAAAGTTTGACCTAGCCATGCTAATTAGGGTTGGTAAATTTCGTGCCAGC</t>
  </si>
  <si>
    <t>CTTTACCGCCCCATCAACACAAAGGTTTGGTCCCAGCCTTTCTATTAATTTTTAGCTGACTTACACATACGAGCATCCACATCCCGGTTAGAATGCCCTGCAAATCATAAAGACCGAAAGGTGCGGGTATCAAGCACACTACACTAGTATCTCACAACACCTTGCTTAGCACACCCCCACGGGATACAGCAGTGACAAAAATTAAGCCATGAACGGAAGTTTGACTTAGCCATGCTAACTAGTGTTGGTAAATTTCGTGCCAGC</t>
  </si>
  <si>
    <t>GCATTATTGCCCCGTCAACATAAAGGTTTGGTCCCAGCCTTTCTATTAATTCTTAACAGACTTACACATGTAAGCATCCACACCCGGTGAGAATGCCCTCCAAATCATAAAGATCACAAGGAGCGGGTAGCAAGCACACTGAACTAGCAGCTCACGACACCTTGCTTAGCCACACCCCCACGGGATACAGCAGTGACGAAAATTAGGCTATGAACGAAAGTTTGACCTAGCCATGCTAATTAGGGTTGGTAAACTTCGTGCCAGC</t>
  </si>
  <si>
    <t>ACATTACTGCCCCATCAACATAAAGGTTTGGTCCTGGCCTTTCTATTAATTCTTAGCAGACTTACACATGCAAGCATCCGCATCCCAGTGAGAATGCCCTTCAAACCATTAAAGACTAAAAGGAGCGGGCATCAAGCACACTACACTAGTAGCTCAAAACGCCTTGCTTAGCCACACCCCCACGGGATACAGCAGTGACAAGAATTAGGCTATGAACGAAAGTTTGACTAAGTCATGTTAACTAGGGTTGGTAAACTTCGAGCCAGC</t>
  </si>
  <si>
    <t>GCTCGCTAGCCCCATGAACATACAGGTTTGGTCCCAGCCTTTTTGTTAGTTTTTAATAGAATTACACATGCAAATATCCGCACTCCGGTGAGAATGCCTTCTAAATCACTAAGATTAAAAGGAGCAGGTATCAAGCATGCTGTACCAGCAGCTCACAACTCCTTGCTCAACCACACCCCCACGGGAGACAGCAGTGATAAGAATTAGGCTATGAGCGAAAGTTTGACCTAGCCATGCTAATCAGGGTTGGTAAACTTCGTGCCAGC</t>
  </si>
  <si>
    <t>CTTTACCGCCCCATCAACACAAAGGTTTGGTCCCAGCCTTTCTATTAATTTTTAGCTGACTTACACATACGAGCATCCACATCCCGGTTAGAATGCCCTGCAAATCATAAAGACCGAAAGGTGCGGGTATCAAGCACACTACACTAGTATCTCACAACACCTTGCTTAGCACACCCCCACGGGATACAGCAGTGACAAAAATTAAGCCATGAACGGAAGTTTGACTTAGCCATGCTAACTAGGGTTGGTAAATTTCGTGCCAGC</t>
  </si>
  <si>
    <t>GCATTATTGCCCCATCAACATAAAGGTTTGGTCCTGGCCTTTCTATTAGTTCTTAGCAGATTTACACATGCAAGCATCCGCATCCCAGTGAGAATGCCCTCCGAATCATTAAAGACTAAGAGGAGCGGACATCAAGCACACTACACCAGTAGCTCATAACGCCTTGCTTAGCCACACCCCCACGGGATACAGCAGTGACAAGAATTAGGCTATGAACGAAAGTTTGACCTAGTTATGCTGATTAGGGTTGGTAAATTTCGTGCCAGC</t>
  </si>
  <si>
    <t>GCTCGCCAGCCCCATCAACATAAAGGTTTGGTCCCAGCCTTTCTATTAATTCTTAACAGACTTACACATGTAAGCATCCACACCCGGTGAGAATGCCCTCCAAATCATAAAGATCACAAGGAGCGGGTAGCAAGCACACTGAACTAGCAGCTCACGACACCTTGCTTAGCCACACCCCCACGGGACACAGCAGTGATAAAAATTAAGCCATGAACGAAAGTTTGACTAAGTTATGTTAGCTAGTTGGTAAACTTCGTGCCAGC</t>
  </si>
  <si>
    <t>ACATTACTGCCCCATCAACATAAAGGTTTGGTCCTGGCCTTTCTATTAATTCTTAGCAGATTTACACATGCAAGCATCCGCATCCCAGTGAGAATGCCCTCCGAATCATTAAAGACTAAGAGGAGCGGACATCAAGCACACTACACCAGTAGCTCATAACGCCTTGCTTAGCCACACCCCCACGGGATACAGCAGTGACGAAAATTAGGCTATGAACGAAAGTTTGACCTAGTTATGCTGATTAGGGTTGGTAAATTTCGTGCCAGC</t>
  </si>
  <si>
    <t>GCTCGCCAGCCCCATCAACATAAAGGTTTGGTCCCAGCCTTTCTATTAATTCTTAACAGACTTACACATTACAAGCATCCACATCCCGGTGAGAATGTCTTCCAAATCACAAAGATCAAAAGGAGCAGGTATCAAGCACGCTACTCTAGCAGCTCACAACACCTTGCTTAGCCACACCCCCACGGGACACAGCAGTGATAAAAATTAAGCCATGAACAAAAGTTTGACTAAGTCATGTTAACTAGGGTTGGTAAACTTCGAGCCAGC</t>
  </si>
  <si>
    <t>ACATTACTGCCCCATCAACATAAAGGTTTGGTCCTGGCCTTTCTATTAGTTCTTAGCAGATTTACACATGCAAGCATCCGCATCCCAGTGAGAATGCCCTCCGAATCATTAAAGACTAAGAGGAGCGGACATCAAGCACACTACACTAGTAGCTCAAAACGCCTTGCTTAGCCACACCCCCACGGGATACAGCAGTGACAAGAATTAGGCTATGAACGAAAGTTTGACCTAGTTATGCTGATTAGGGTTGGTAAATTTCGTGCCAGC</t>
  </si>
  <si>
    <t>GTGGGCTTCGCCAGCCCCATCAACATAAAGGTTTGGTCCCAGCCTTACTATTAATTCTTAACAGACTTACACATGCAAGCATCCACATCCCAGTGAGAATGCCCTCCAAATCACAAAGATCAAAAGGAGCGGGTATCAAGCACGCTACACTAGCAGCTCACAACACCTTGCTTAGTCACACCCCCACGGGACACAGCAGTGATAAAAAGTAAGCCATGAACTAAAGTTTGACTAAGTCATGTTAACTAGGGTTGGTAAACTTCGTGCCAGC</t>
  </si>
  <si>
    <t>GCATTATTGCCCCATCAACATAAAGGTTTGGTCCTGGCCTTTCTATTAATTCTTAGCAGACTTACACATGCAAGCATCCGCATCCCAGTGAGAATGCCCTCCAAATCACTAAAGACTAAAAGGAGCGGGTATCAAGCACACTACACTAGTAGCTCATAACGCCTTGCTTAGCCACACCCCCACGGGATACAGCAGTGACAAGAATTAGGCTATGAACGAAAGTTTGACCTAGCCATGCTAACTAGGGTTGGTAAATTTCGTGCCAGC</t>
  </si>
  <si>
    <t>GCATTATTGCCCCATCAACATAAAGGTTTGGTCCTGGCCTTTCTATTAGTTCTTAGCAGACTTACACATGCAAGCATCCACATCCCAGTGAGAATGCCCTCCAAATCATTAAAGACTAAAAGGAGCGGGCATCAAGCACACTACACTAGTAGCTCACAACGCCTTGCTTAGCCACACCCCCACGGGATACAGCAGTGACAAAAATTAGGCTATGAACGAAAGTTTGACCTAGCCATGCTAATTAGGGTTGGTAAACTTCGTGCCAGC</t>
  </si>
  <si>
    <t>GCTCGCCAGCCCCATCAACATAAAGGTTTGGTCCTAGCCTTTCTATTAATTCTTAACAGACTTACACATACAAGCATCCACATCCCGGTGAGAATGCCCTCCAAATCACAAGGATCAAAAGGAGCGGGTATCAAGCACGCTACACTAGCAGCTCACAACACCTTGCTTAGCCACACCCCCACGGGACACAGCAGTGATAAAAATTAAGCCATGAACGAAAGTTTGACTAAGTCATGTTAACTAGGGTTGGTAAACTTCGAGCCAGC</t>
  </si>
  <si>
    <t>GCTCACTAGCCCCGTAAACATAACGGTTTGGTCCCAGCCTTTCTATTAGTTTTTAATAGAATCACTAAGATTAAAAGGAGCAGGTATCAAGCATGCTACACCAGCAGCTCACAACACCCTGCTTAACCACACCCCCATGGGAGACAGCAGGGATAAAAATTAAGCCATAAATGGAAGTTTGACTAAGCCATATTAATCTGGTTTGGTAAATTTCGTGCCAGC</t>
  </si>
  <si>
    <t>GCATTATTGCCCCATCAACACAAAGGTTTGGTCCTGGCCTTTCTATTAGTTCTTAGCAGACTTACACATGCAAGCATCCGCATCCCAGTGAGAATGCCCTCCAAATCATTAAAGACTAAAAGGAGCGGGTATCAAGCACACTACGCTAGTAGCTCATAACGCCTTGCTTAGCCACACCCCCACGGGATACAGCAGTGACAAGAATTAGGCTATGAACGAAAGTTTGACCTAGCCATGCTAACTAGGGTTGGTAAATTTCGTGCCAGG</t>
  </si>
  <si>
    <t>GCATTATTGCCCCATCAACATAAAGGTTTGGTCCTGGCCTTTCTATTAGTTCTTAGCAGACTTACACATGCAAGCATCCGCATCCCAGTGAGAACGCCCTTCAAATCATTAAGACTAAAAGGAGCGGGTATCAAGCACGCTACGCTAGTAGCTCATAACGCCTTGCTTAGCCACACCCCCACGGGATACAGCAGTGACAAGAATTAGGCTATGAGCGAAAGTTTGACCTAGCCATGCTAATTAGGGTTGGTAAATTTCGTGCCAGC</t>
  </si>
  <si>
    <t>GCATTATTGCCCCATCAACATAAAGGTTTGGTCCTGGCCTTTCTATTAGTTCTTAGCAGACTTACACATGCAAGCATCCGCATCCCAGTGAGAACGCCCTTCAAATCATTAAGACTAAAAGGAGCGGGTATCAAGCACGCTACGCTAGTAGCTCATAACGCCTTGCTTAGCCACACCCCCACGGGATACAGCAGTGACAAGAATTAGGCTATGAACGGAAGTTTGACCTAGCCATGCTAACTAGGGTTGGTAAATTTCGTGCCAGC</t>
  </si>
  <si>
    <t>GCATTACTGCCCCATCAACACAAAGGTTTGGTCCTAGCCTTTCTATTAGTTCTTAGCAGACTTACACATGCAAGCATCCGCATCCCAGTGAGAATGCCCTCCAAATCATTAAAGACTAAAAGGAGCGGGCATCAAGCACACTATACCAGTAGCTCATAACGCCTTGCTTAGCCACACCCCCACGGGATACAGCAGTGACAAGAATTAGGCTATGAACGAAAGTTTGACCTAGCCATGCTAATTAGGGTTGGTAAATTTCGTGCCAGC</t>
  </si>
  <si>
    <t>GCATTATTGCCCCATCAACACAAAGGTTTGGTCCTGGCCTTTCTATTAGTTCTTGGCAGACTTACACATGCAAGCATCCGCATCCCAGTGAGAATGCCCTCCAAATCATTAAAGACTAAAAGGAGCGGGCATCAAGCACACTACACTAGTAGCTCACAACGCCTTGCTTAGCCACACCCCCACGGGATACAGCAGTGACAAAAATTAGGCTATGAACGAAAGTTTGACCTAGCCATGCTAATTAGGGTTGGTAAACTTCGTGCCAGC</t>
  </si>
  <si>
    <t>CATTACTGCCCCATCAACATAAAGGTTTGGTCCTAGCCTTTCTATTAGTTCTTAGCAGATTTACACATGCAAGCATCCGCATCCCAGTGAAAATGCCCTCCAAATCACTAAAGACTAAAAGGAGCGGGCATCAAGCACACTACACCAGTAGCTCACAACGCCTTGCTTAGCCACACCCCCACGGGATACAGCAGTGACAAAAATTAGGCTATGAACGAAAGTTTGACCTAGTTATGCTGATTAGGGTTGGTAAATTTCGTGCCAGC</t>
  </si>
  <si>
    <t>GCATTATTGCCCCGTCAACATAAAGGTTTGGTCCTGGCCTTTCTATTAGTTCTTAGCAGATTTACACATGCAAGCATCCGCATCCCAGTGAGAATGCCCTCCAAATCATTAAAGACTAAAAGGAGCGGGTATCAAGCACACTACGCTAGTAGCTCATAACGCCTTGCTTAGCCACACCCCCACGGGATACAGCAGTGACAAGAATTAGGCTATGAACGAAAGTTTGACCTAGCCATGCTAACTAGGGTTGGTAAATTTCGTGCCAGG</t>
  </si>
  <si>
    <t>GCATTATTGCCCCGTCAACATAAAGGTTTGGTCCTGGCCTTTCTATTAGTTCTTAGCAGATTTACACATGCAAGCATCCGCATCCCAGTGAGAATGCCCTCCGAATCATTAAAGACTAAGAGGAGCGGACATCAAGCACACTACACCAGTAGCTCATAACGCCTTGCTTAGCCACACCCCCACGGGATACAGCAGTGACGAAAATTAGGCTATGAACGAAAGTTTGACCTAGCCATGCTAACTAGGGTTGGTAAATTTCGTGCCAGG</t>
  </si>
  <si>
    <t>GCATTACTGCCCCATCAACACAAAGGTTTGGTCCTAGCCTTTCTATTAGTTCTTAGCAGACTTACACATGCAAGCATCCGCATCCCAGTGAGAATGCCCTCCAAATCATTAAAGACTAAAAGGAGCGGGTATCAAGCACACTACGCTAGTAGCTCATAACGCCTTGCTTAGCCACACCCCCACGGGATACAGCAGTGACAAGAATTAGGCTATGAACGAAAGTTTGACCTAGCCATGCTAATTAGGGTTGGTAAACTTCGTGCCAGC</t>
  </si>
  <si>
    <t>GCATTATTGCCCCGTCAACATAAAGGTTTGGTCCTGGCCTTTCTATTAGTTCTTAGCAGACTTACACATGCAAGCATCCACATCCCAGTGAGAATGCCCTCCAAATCATTAAAGACTAAAAGGAGCGGGCATCAAGCACACTACACTAGTAGCTCACAACGCCTTGCTTAGCCACACCCCCACGGGATACAGCAGTGACAAAAATTAGGCTATGAACGAAAGTTTGACCTAGCCATGCTAATTAGGGTTGGTAAACTTCGTGCCAGC</t>
  </si>
  <si>
    <t>GCATTATTGCCCCATCAACATAAAGGTTTGGTCCTGGCCTTTCTATTAATTCTTAACAGACTTACACATGCAAGCATCCACACCCGGTGAGAATGCCCTCCAAATCATAAAGAGCACAAGGAGCGGGTAGCAAGCACACTGCACTAGCAGCTCACGACACCTTGCTTAGCCACACCCCCACGGGACACAGCAGTGATAAAAATTAAGCCATGAACGAAAGTTTGACTAAGTTATGTTAGCTAGTTGGTAAACTTCGTGCCAGC</t>
  </si>
  <si>
    <t>GCATTATTGCCCCATCAACATAAAGGTTTGGTCCTGGCCTTTCTATTAATTCTTAGCAGACTTACACATGCAAGCATCCGCATCCCAGTGAGAACGCCCTTCAAATCATTAAGACTAAAAGGAGCGGGTATCAAGCACGCTACGCTAGTAGCTCATAACGCCTTGCTTAGCCACACCCCCACGGGATACAGCAGTGACAAGAATTAGGCTATGAACGGAAGTTTGACCTAGCCATGCTAACTAGGGTTGGTAAATTTCGTGCCAGC</t>
  </si>
  <si>
    <t>ACATTACTGCCCCATCAACATAAAGGTTTGGTCCTGGCCTTTCTATTAATTCTTAGCAGACTTACACATGCAAGCATCCGCATCCCAGTGAGAATGCCCTCCAAATCATTAAAGACTAAAAGGAGCGGGTATCAAGCACACTACGCTAGTAGCTCATAACGCCTTGCTTAGCCACACCCCCACGGGATACAGCAGTGACAAGAATTAGGCTATGAACGAAAGTTTGACCTAGCCATGCTAACTAGGGTTGGTAAATTTCGTGCCAGC</t>
  </si>
  <si>
    <t>GCATTATTGCCCCATCAACATAAAGGTTTGGTCCTGGCCTTTCTATTAATTCTTAGCAGACTTACACATGCAAGCATCCGCATCCCAGTGAGAATGCCCTCCAAATCACTAAAGACTAAAAGGAGCGGGTATCAAGCACGCTACACTAGCAGCTCACAACACCTTGCTTAGCCACACCCCCACGGGACACAACAGTGATAAAAATTAAGCCATGAACGAAAGTTTGACTAAGTCATGTTAACTAGGGTTGGTAAACTTCGAGCCAGC</t>
  </si>
  <si>
    <t>GCATTATTGCCCCGTCAACATAAAGGTTTGGTCCTGGCCTTTCTATTAGTTCTTAGCAGATTTACACATGCAAGCATCCGCATCCCAGTGAGAATGCCCTCCGAATCATTAAAGACTAAGAGGAGCGGACATCAAGCACACTACACCAGTAGCTCATAACGCCTTGCTTAGCCACACCCCCACGGGACACAGCAGTGATAAAAATTAAGCCATGAACAAAAGTTTGACTAAGTCATGTTAACTAGGGTTGGTAAACTTCGAGCCAGC</t>
  </si>
  <si>
    <t>GCATTATTGCCCCGTCAACATAAAGGTTTGGTCCTGGCCTTTCTATTAGTTCTTAGCAGACTTACACATGCAAGCATCCGCATCCCAGTGAGAATGCCCTCCAAATCATTAAAGACTAAAAGGAGCGGGTATCAAGCACACTACGCTAGTAGCTCATAACGCCTTGCTTAGCCACACCCCCACGGGATACAGCAGTGACAAGAATTAGGCTATGAACGAAAGTTTGACCTAGCCATGCTAACTAGGGTTGGTAAATTTCGTGCCAGG</t>
  </si>
  <si>
    <t>GCTCGCCAGCCCCATCAACATAAAGGTTTGGTCCCAGCCTTTCTATTAATTCTTAACAGACTTACACATGCAAGCATCCACACCCGGTGAGAATGCCCTCCAAATCATAAAGATCACAAGGAGCGGGTAGCAAGCACACTGAACTAGCAGCTCACGACACCTTGCTTAGCCACACCCCCACGGGACACAGCAGTGATAAAAATTAAGCCATGAACGAAAGTTTGACTAAGTTATGTTAGCTAGTTGGTAAACTTCGTGCCAGC</t>
  </si>
  <si>
    <t>ACATTACTGCCCCATCAACATAAAGGTTTGGTCCTGGCCTTTCTATTAATTCTTAGCAGACTTACACATGCAAGCATCCGCATCCCAGTGAGAATGCCCTTCAAACCATTAAAGACTAAAAGGAGCGGGTATCAAGCACACTACGCTAGTAGCTCATAACGCCTTGCTTAGCCACACCCCCACGGGATACAGCAGTGACAAGAATTAGGCTATGAACGAAAGTTTGACCTAGCCATGCTAACTAGGGTTGGTAAATTTCGTGCCAGC</t>
  </si>
  <si>
    <t>ACATTACTGCCCCATCAACATAAAGGTTTGGTCCTGGCCTTTCTATTAATTCTTAGCAGACTTACACATGCAAGCATCCGCATCCCAGTGAGAATGCCCTCCAAATCATTAAAGACTAAAAGGAGCGGGCATCAAGCACACTACACTAGTAGCTCACAACGCCTTGCTTAGCCACACCCCCACGGGATACAGCAGTGACAAGAATTAGGCTATGAACGAAAGTTTGACCTAGCCATGCTAATTAGGGTTGGTAAATTTCGTGCCAGC</t>
  </si>
  <si>
    <t>GCATTATTGCCCCGTCAACATAAAGGTTTGGTCCTGGCCTTTCTATTAGTTCTTAGCAGATTTACACATGCAAGCATCCGCATCCCAGTGAGAATGCCCTTCAAACCATTAAAGACTAAAAGGAGCGGGCATCAAGCACACTACACTAGTAGCTCAAAACGCCTTGCTTAGCCACACCCCCACGGGATACAGCAGTGACAAGAATTAGGCTATGAACGAAAGTTTGACCTAGTTATGCTGATTAGGGTTGGTAAATTTCGTGCCAGC</t>
  </si>
  <si>
    <t>GCTCGCCAGCCCCATCAACATAAAGGTTTGGTCCTGGCCTTTCTATTAATTCTTAGCAGACTTACACATGCAAGCATCCGCATCCCAGTGAGAATGCCCTTCAAACCATTAAAGACTAAAAGGAGCGGGCATCAAGCACACTACACTAGTAGCTCAAAACGCCTTGCTTAGCCACACCCCCACGGGATACAGCAGTGACAAGAATTAGGCTATGAACGAAAGTTTGACCTAGTTATGCTGATTAGGGTTGGTAAATTTCGTGCCAGC</t>
  </si>
  <si>
    <t>GCATTACTGCCCCATCAACACAAAGGTTTGGTCCTAGCCTTTCTATTAGTTCTTAGCAGACTTACACATGCAAGCATCCGCATCCCAGTGAGAATGCCCTCCAAATCATTAAAGACTAAAAGGAGCGGGCATCAAGCACACTACACTAGTAGCTCAAAACGCCTTGCTTAGCCACACCCCCACGGGATACAGCAGTGACAAGAATTAGGCTATGAACGAAAGTTTGACCTAGTTATGCTGATTAGGGTTGGTAAATTTCGTGCCAGC</t>
  </si>
  <si>
    <t>ACATTACTGCCCCATCAACATAAAGGTTTGGTCCTGGCCTTTCTATTAATTCTTAGCAGACTTACACATGCAAGCATCCGCATCCCAGTGAGAATGCCCTTCAAACCATTAAAGACTAAAAGGAGCGGGCATCAAGCACACTACACTAGTAGCTCAAAACGCCTTGCTTAGCCACACCCCCACGGGATACAGCAGTGACAAAAATTAGGCTATGAACGAAAGTTTGACCTAGCCATGCTAATCAGGGTTGGTAAACTTCGTGCCAGC</t>
  </si>
  <si>
    <t>GCATTATTGCCCCGTCAACATAAAGGTTTGGTCCTGGCCTTTCTATTAGTTCTTAGCAGACTTACACATGCAAGCATCCGCATCCCAGTGAGAATGCCCTCCAAATCATTAAAGACTAAAAGGAGCGGGTATCAAGCACACTACGCTAGTAGCTCATAACGCCTTGCTTAGCCACACCCCCACGGGATACAGCAGTGACAAGAATTAGGCTATGAACGAAAGTTTGACCTAGCCATGCTAACTAGGGTTGGTAAATTTCGTGCCAGC</t>
  </si>
  <si>
    <t>ACATTACTGCCCCATCAACATAAAGGTTTGGTCCTGGCCTTTCTATTAATTCTTAGCAGACTTACACATGCAAGCATCCGCATCCCAGTGAGAATGCCCTTCAAACCATTAAAGACTAAAAGGAGCGGGCATCAAGCACACTACACCAGTAGCTCACAACGCCTTGCTTAGCCACACCCCCACGGGATACAGCAGTGACAAGAATTAGGCTATGAACGAAAGTTTGACCTAGTTATGCTGATTAGGGTTGGTAAATTTCGTGCCAGC</t>
  </si>
  <si>
    <t>GCATTATTGCCCCATCAACATAAAGGTTTGGTCCTGGCCTTTCTATTAATTCTTAGCAGACTTACACATACAAGCATCCACATCCCGGTGAGAATGCCCTCCAAATCACAAGGATCAAAAGGAGCGGGTATCAAGCACGCTACACTAGCAGCTCACAACACCTTGCTTAGCCACACCCCCACGGGATACAGCAGTGACAAGAATTAGGCTATGAGCGAAAGTTTGACCTAGCCATGCTAATTAGGGTTGGTAAATTTCGTGCCAGC</t>
  </si>
  <si>
    <t>GCTCGCCAGCCCCATCAACATAAAGGTTTGGTCCCAGCCTTTCTATTAATTCTTAACAGACTTACACATGCAAGCATCCACACCCGGTGAGAATGCCCTCCAAATCATAAAGAGCACAAGGAGCGGGTAGCAAGCACACTGCACTAGCAGCTCACGACACCTTGCTTAGCCACACCCCCACGGGATACAGCAGTGACAAGAATTAGGCTATGAGCGAAAGTTTGACCTAGCCATGCTAATTAGGGTTGGTAAATTTCGTGCCAGC</t>
  </si>
  <si>
    <t>GCATTACTGCCCCATCAACACAAAGGTTTGGTCCTAGCCTTTCTATTAGTTCTTAGCAGACTTACACATGCAAGCATCCGCATCCCAGTGAGAACGCCCTTCAAATCATTAAGACTAAAAGGAGCGGGTATCAAGCACGCTACGCTAGTAGCTCATAACGCCTTGCTTAGCCACACCCCCACGGGATACAGCAGTGACAAGAATTAGGCTATGAGCGAAAGTTTGACCTAGCCATGCTAATTAGGGTTGGTAAATTTCGTGCCAGC</t>
  </si>
  <si>
    <t>GCTCGCCAGCCCCATCAACATAAAGGTTTGGTCCCAGCCTTTCTATTAATTCTTAACAGACTTACACATACAAGCATCCACATCCCGGTGAGAATGCCCTCCAAATCACAAGGATCAAAAGGAGCGGGTATCAAGCACGCTACACTAGCAGCTCACAACACCTTGCTTAGCCACACCCCCACGGGACACAGCAGTGATAAAAATTAAGCCATGAACGAAAGTTTGACTAAGTCATGTTAACTAGGGTTGGTAAACTTCGAGCCAGC</t>
  </si>
  <si>
    <t>ACATTACTGCCCCATCAACATAAAGGTTTGGTCCTGGCCTTTCTATTAATTCTTAGCAGACTTACACATGCAAGCATCCGCATCCCAGTGAGAATGCCCTTCAAACCATTAAAGACTAAGAGGAGCGGGCATCAAGCACACTACACTAGTAGCTCATAACGCCTTGCTTAGCCACACCCCCACGGGATACAGCAGTGACAAGAATTAGGCTATGAACGAAAGTTTGACCTAGTTATGCTGATTAGGGTTGGTAAATTTCGTGCCAGC</t>
  </si>
  <si>
    <t>GCATTATTGCCCCGTCAACATAAAGGTTTGGTCCTGGCCTTTCTATTAGTTCTTAGCAGATTTACACATGCAAGCATCCGCATCCCAGTGAGAATGCCCTCCGAATCATTAAAGACTAAGAGGAGCGGACATCAAGCACACTACACCAGTAGCTCATAACGCCTTGCTTAGCCACACCCCCACGGGATACAGCAGTGACAAGAATTAGGCTATGAACGAAAGTTTGACCTAGCCATGCTAACTAGGGTTGGTAAATTTCGTGCCAGG</t>
  </si>
  <si>
    <t>ACATTACTGCCCCATCAACATAAAGGTTTGGTCCTGGCCTTTCTATTAATTCTTAGCAGACTTACACATGCAAGCATCCGCATCCCAGTGAGAATGCCCTCCAAATCACTAAAGACTAAAAGGAGCGGGCATCAAGCACACTATACCAGTAGCTCATAACGCCTTGCTTAGCCACACCCCCACGGGATACAGCAGTGACAAGAATTAGGCTATGAACGAAAGTTTGACCTAGTTATGCTGATTAGGGTTGGTAAATTTCGTGCCAGC</t>
  </si>
  <si>
    <t>GCTCGCTAGCCCCATGAACATACAGGTTTGGTCCCAGCCTTTTTGTTAGTTTTTAATAGAATTACACATGCAAATATCCGCACTCCGGTGAGAATGCCTTCTAAATCACTAAGATTAAAAGGAGCAGGTATCAAGCATGCTGTACCAGCAGCTCACAACTCCTTGCTCAACCACACCCCCACGGGAGACAGCAGTGATAAGAATTAAGCCATAAACAAAAGTTCAACTAAGTCATATTAATAAGGGTTGGTAAATTTCATGCCAGC</t>
  </si>
  <si>
    <t>CATTACTGCCCCATCAACATAAAGGTTTGGTCCTAGCCTTTCTATTAGTTCTTAGCAGATTTACACATGCAAGCATCCGCATCCCAGTGAAAATGCCCTCCAAATCACTAAAGACTAAAAGGAGCGGGCATCAAGCACACTACACCAGTAGCTCACAACGCCTTGCTTAGCCACACCCCCACGGGATACAGCAGTGACAAGAATTAGGCTATGAACGAAAGTTTGACCTAGTTATGCTGATTAGGGTTGGTAAATTTCGTGCCAGC</t>
  </si>
  <si>
    <t>GCATTATTGCCCCATCAACATAAAGGTTTGGTCCTGGCCTTTCTATTAATTCTTAGCAGACTTACACATGCAAGCATCCGCATCCCAGTGAGAATGCCCTCCAAATCACTAAAGACTAAAAGGAGCGGGCATCAAGCACACTATACCAGTAGCTCATAACGCCTTGCTTAGCCACACCCCCACGGGATACAGCAGTGACAAGAATTAGGCTATGAACGAAAGTTTGACCTAGTTATGCTGATTAGGGTTGGTAAATTTCGTGCCAGC</t>
  </si>
  <si>
    <t>ACATTACTGCCCCATCAACATAAAGGTTTGGTCCTGGCCTTTCTATTAATTCTTAGCAGACTTACACATGCAAGCATCCGCATCCCAGTGAGAATGCCCTCCAAATCACTAAAGACTAAAAGGAGCGGGCATCAAGCACACTATACCAGTAGCTCATAACGCCTTGCTTAGCCACACCCCCACGGGATACAGCAGTGACAAGAATTAGGCTATGAGCGAAAGTTTGACCTAGCCATGCTAATTAGGGTTGGTAAATTTCGTGCCAGC</t>
  </si>
  <si>
    <t>ACATTACTGCCCCATCAACATAAAGGTTTGGTCCTGGCCTTTCTATTAATTCTTAGCAGACTTACACATGCAAGCATCCGCATCCCAGTGAGAATGCCCTTCAAACCATTAAAGACTAAAAGGAGCGGGCATCAAGCACACTACACTAGTAGCTCAAAACGCCTTGCTTAGCCACACCCCCACGGGATACAGCAGTGACAAGAATTAGGCTATGAACGAAAGTTTGACCTAGCCATGCTAATCAGGGTTGGTAAACTTCGTGCCAGC</t>
  </si>
  <si>
    <t>GCATTATTGCCCCATCAACATAAAGGTTTGGTCCTGGCCTTTCTATTAGTTCTTAGCAGACTTACACATGCAAGCATCCGCATCCCAGTGAGAATGCCCTCCAAATCATTAAAGACTAAAAGGAGCGGGCATCAAGCACACTACACTAGTAGCTCACAACGCCTTGCTTAGCCACACCCCCACGGGATACAGCAGTGACAAGAATTAGGCTATGAACGAAAGTTTGACCTAGTTATGCTGATTAGGGTTGGTAAATTTCGTGCCAGC</t>
  </si>
  <si>
    <t>GCATTATTGCCCCATCAACACAAAGGTTTGGTCCTGGCCTTTCTATTAGTTCTTAGCAGACTTACACATGCAAGCATCCGCATCCCAGTGAGAATGCCCTCCAAATCATTAAAGACTAAAAGGAGCGGGTATCAAGCACACTACGCTAGTAGCTCATAACGCCTTGCTTAGCCACACCCCCACGGGATACAGCAGTGACAAGAATTAGGCTATGAACGAAAGTTTGACCTAGCCATGCTAACTAGGGTTGGTAAATTTCGTGCCAGC</t>
  </si>
  <si>
    <t>GCATTATTGCCCCATCAACACAAAGGTTTGGTCCTGGCCTTTCTATTAGTTCTTAGCAGACTTACACATGCAAGCATCCGCATCCCAGTGAGAATGCCCTCCAAATCATTAAAGACTAAAAGGAGCGGGCATCAAGCACACTACACTAGTAGCTCATAACGCCTTGCTTAGCCACACCCCCACGGGATACAGCAGTGACAAGAATTAGGCTATGAACGAAAGTTTGACCTAGTTATGCTGATTAGGGTTGGTAAATTTCGTGCCAGC</t>
  </si>
  <si>
    <t>GCTTCGCCAGCCCCATCAACATAAAGGTTTGGTCCCAGCCTTTCTATTAATTCTTAACAGACTTACACATTACAAGCATCCACATCCCGGTGAGAATGTCCTCCAAATCACAAAGATCAAAAGGAGCGGGTATCAAGCACGCTACTCTAGCAGCTCACAACACCTTGCTTAGCCACACCCCCACGGGACACAGCAGTGATAAAAATTAAGCCATGAACAAAAGTTTGACTAAGTCATGTTAACTAGGGTTGGTAAACTTCGAGCCAGC</t>
  </si>
  <si>
    <t>GCATTATTGCCCCATCAACATAAAGGTTTGGTCCTGGCCTTTCTATTAATTCTTAGCAGACTTACACATACAAGCATCCACATCCCGGTGAGAATGCCCTCCAAATCACAAGGATCAAAAGGAGCGGGTATCAAGCACGCTACACTAGCAGCTCACAACACCTTGCTTAGCCACACCCCCACGGGACACAACAGTGATAAAAATTAAGCCATGAACGAAAGTTTGACTAAGTCATGTTAACTAGGGTTGGTAAACTTCGAGCCAGC</t>
  </si>
  <si>
    <t>GCATTATTGCCCCATCAACACAAAGGTTTGGTCCTGGCCTTTCTATTAGTTCTTAGCAGACTTACACATGCAAGCATCCGCATCCCAGTGAGAATGCCCTCCAAATCATTAAAGACTAAAAGGAGCGGGTATCAAGCACACTACGCTAGTAGCTCATAACGCCTTGCTTAGCCACACCCCCACGGGATACAGCAGTGACAAGAATTAGGCTATGAACGAAAGTTTGACCTAGCCATGCTAATTAGGGTTGGTAAATTTCGTGCCAGC</t>
  </si>
  <si>
    <t>GCTCGCCAGCCCCATCAACATAAAGGTTTGGTCCCAGCCTTTCTATTAATTCTTAACAGACTTACACATACAAGCATCCACATCCCGGTGAGAATGCCCTCCAAATCACAAGGATCAAAAGGAGCGGGTATCAAGCACGCTACACTAGCAGCTCACAACACCTTGCTTAGCCACACCCCCACGGGATACAGCAGTGACAAGAATTAGGCTATGAGCGAAAGTTTGACCTAGCCATGCTAATTAGGGTTGGTAAATTTCGTGCCAGC</t>
  </si>
  <si>
    <t>GCATTACTGCCCCATCAACACAAAGGTTTGGTCCTAGCCTTTCTATTAGTTCTTAGCAGACTTACACATGCAAGCATCCGCATCCCAGTGAGAATGCCCTCCAAATCATTAAAGACTAAAAGGAGCGGGCATCAAGCACACTATACTAGTAGCTCATAACGCCTTGCTTAGCCACACCCCCACGGGATACAGCAGTGACAAGAATTAGGCTATGAACGAAAGTTTGACCTAGCCATGCTAATTAGGGTTGGTAAATTTCGTGCCAGC</t>
  </si>
  <si>
    <t>GCATTATTGCCCCATCAACACAAAGGTTTGGTCCTGGCCTTTCTATTAGTTCTTAGCAGACTTACACATGCAAGCATCCGCATCCCAGTGAGAATGCCCTCCAAATCATTAAAGACTAAAAGGAGCGGGCATCAAGCACACTACACTAGTAGCTCATAACGCCTTGCTTAGCCACACCCCCAGGGGATACAGCAGTGACAAGAATTAGGCTATGAACGAAAGTTTGACCTAGCCATGCTAATTAGGGTTGGTAAATTTCGTGCCAGC</t>
  </si>
  <si>
    <t>GCATTATTGCCCCGTCAACATAAAGGTTTGGTCCTGGCCTTTCTATTAGTTCTTAGCAGATTTACACATGCAAGCATCCGCATCCCAGTGAGAATGCCCTCCGAATCATTAAAGACTAAGAGGAGCGGACATCAAGCACACTACACCAGTAGCTCATAACGCCTTGCTTAGCCACACCCCCACGGGATACAGCAGTGACAAGAATTAGGCTATGAACGAAAGTTTGACCTAGTTATGCTGATTAGGGTTGGTAAATTTCGTGCCAGC</t>
  </si>
  <si>
    <t>GCTCGCCAGCCCCATCAACATAAAGGTTTGGTCCCAGCCTTTCTATTAATTCTTAGCAGACTTACACATGCAAGCATCCGCATCCCAGTGAGAATGCCCTTCAAACCATTAAAGACTAAAAGGAGCGGGCATCAAGCACACTACACTAGTAGCTCAAAACGCCTTGCTTAGCCACACCCCCACGGGATACAGCAGTGACAAGAATTAGGCTATGAACGAAAGTTTGACCTAGTTATGCTGATTAGGGTTGGTAAATTTCGTGCCAGC</t>
  </si>
  <si>
    <t>GCTCGCCAGCCCCATCAACATAAAGGTTTGGTCCCAGCCTTTCTATTAATTCTTAACAGACTTACACATTACAAGCATCCACATCCCGGTGAGAATGTCCTCCAAATCACAAAGATCAAAAGGAGCAGGTATCAAGCACGCTACTCTAGCAGCTCACAACACCTTGCTTAGCCACACCCCCACGGGACACAGCAGTGATAAAAATTAAGCCATGAACAAAATTTTGACTAAGTCATGTTAACTAGGGTTGGTAAACTTCGAGCCAGC</t>
  </si>
  <si>
    <t>GCATTATTGCCCCATCAACATAAAGGTTTGGTCCTGGCCTTTCTATTAGTTCTTAGCAGACTTACACATGCAAGCATCCGCATCCCAGTGAGAATGCCCTCCAAATCATTAAAGACTAAAAGGAGCGGGCATCAAGCACACTACACTAGTAGCTCAAAACGCCTTGCTTAGCCACACCCCCACGGGATACAGCAGTGACAAGAATTAGGCTATGAACGAAAGTTTGACCTAGTTATGCTGATTAGGGTTGGTAAATTTCGTGCCAGC</t>
  </si>
  <si>
    <t>ACATTACTGCCCCATCAACATAAAGGTTTGGTCCTGGCCTTTCTATTAATTCTTAGCAGACTTACACATGCAAGCATCCGCATCCCAGTGAGAATGCCCTTCAAACCATTAAAGACTAAAAGGAGCGGGCATCAAGCACACTACACCAGTAGCTCACAACGCCTTGCTTAGCCACACCCCCACGGGATACAGCAGTGACAAAAATTAGGCTATGAACGAAAGTTTGACCTAGCCATGCTAATCAGGGTTGGTAAACTTCGTGCCAGC</t>
  </si>
  <si>
    <t>GCTCACTAGCCCCATAAACATAACGGTTTGGTCCCAGCCTTTCTATTAGTTTTTAATAGAATTACACATGCAAGTATCTGCACTCCGGTGAGAATGCCCTCCAAATCACTAAGATTGAAAGGAGCAGGTATCAAGCATGCTACACCAGCAGCTCACAACACCTTGCTTAACCACACCCCCATGGGAGACAGCAGGGATAAAAATTAAGCCATAAATGGAAGTTTGACTAAGCCATATTAATCTGGTTTGGTAAATTTCGTGCCAGC</t>
  </si>
  <si>
    <t>GCATTACTGCCCCATCAACACAAAGGTTTGGTCCTAGCCTTTCTATTAGTTCTTAGCAGACTTACACATGCAAGCATCCGCATCCCAGTGAGAACGCCCTTCAAATCATTAAGACTAAAAGGAGCGGGTATCAAGCACGCTACGCTAGTAGCTCATAACGCCTTGCTTAGCCACACCCCCACGGGATACAGCAGTGACAAGAATTAGGCTATGAACGGAAGTTTGACCTAGCCATGCTAACTAGGGTTGGTAAATTTCGTGCCAGC</t>
  </si>
  <si>
    <t>GCATTATTGCCCCATCAACACAAAGGTTTGGTCCTGGCCTTTCTATTAGTTCTTAGCAGACTTACACATGCAAGCATCCGCATCCCAGTGAGAATGCCCTCCAAATCATTAAAGACTAAAAGGAGCGGGCATCAAGCACACTACACTAGTAGCTCAAAACGCCTTGCTTAGCCACACCCCCACGGGATACAGCAGTGACAAGAATTAGGCTATGAACGAAAGTTTGACCTAGTTATGCTGATTAGGGTTGGTAAATTTCGTGCCAGC</t>
  </si>
  <si>
    <t>GCATTATTGCCCCGTCAACATAAAGGTTTGGTCCTGGCCTTTCTATTAGTTCTTAGCAGACTTACACATGCAAGCATCCGCATCCCAGTGAGAATGCCCTCCAAATCATTAAAGACTAAAAGGAGCGGGCATCAAGCACACTACACTAGTAGCTCATAACGCCTTGCTTAGCCACACCCCCACGGGATACAGCAGTGACAAGAATTAGGCTATGAACGAAAGTTTGACCTAGCCATGCTAATTAGGGTTGGTAAACTTCGTGCCAGC</t>
  </si>
  <si>
    <t>GCATTACTGCCCCATCAACACAAAGGTTTGGTCCTAGCCTTTCTATTAGTTCTTAGCAGACTTACACATGCAAGCATCCGCATCCCAGTGAGAATGCCCTCCAAATCATTAAAGACTAAAAGGAGCGGGTATCAAGCACACTACGCTAGTAGCTCATAACGCCTTGCTTAGCCACACCCCCACGGGATACAGCAGTGACAAGAATTAGGCTATGAACGAAAGTTTGACCTAGCCATGCTAATTAGGGTTGGTAAATTTCGTGCCAGC</t>
  </si>
  <si>
    <t>ACATTACTGCCCCATCAACATAAAGGTTTGGTCCTGGCCTTTCTATTAATTCTTAGCAGACTTACACATGCAAGCATCCGCATCCCAGTGAGAATGCCCTTCAAACCATTAAAGACTAAAAGGAGCGGGCATCAAGCACACTACACTAGTAGCTCATAACGCCTTGCTTAGCCACACCCCCACGGGATACAGCAGTGACAAGAATTAGGCTATGAACGAAAGTTTGACCTAGCCATGCTAATTAGGGTTGGTAAATTTCGTGCCAGC</t>
  </si>
  <si>
    <t>GCATTATTGCCCCGTCAACATAAAGGTTTGGTCCTGGCCTTTCTATTAATTCTTAGCAGACTTACACATGCAAGCATCCGCATCCCAGTGAGAATGCCCTTCAAACCATTAAAGACTAAAAGGAGCGGGCATCAAGCACACTACACTAGTAGCTCAAAACGCCTTGCTTAGCCACACCCCCACGGGATACAGCAGTGACAAGAATTAGGCTATGAACGAAAGTTTGACCTAGTTATGCTGATTAGGGTTGGTAAATTTCGTGCCAGC</t>
  </si>
  <si>
    <t>GCATTATTGCCCCATCAACATAAAGGTTTGGTCCTGGCCTTTCTATTAATTCTTAGCAGACTTACACATGCAAGCATCCGCATCCCAGTGAGAATGCCCTCCAAATCATTAAAGACTAAAAGGAGCGGGTATCAAGCACACTACGCTAGTAGCTCATAACGCCTTGCTTAGCCACACCCCCACGGGATACAGCAGTGACAAGAATTAGGCTATGAACGAAAGTTTGACCTAGCCATGCTAACTAGGGTTGGTAAATTTCGTGCCAGC</t>
  </si>
  <si>
    <t>GCATTATTGCCCCATCAACATAAAGGTTTGGTCCTGGCCTTTCTATTAGTTCTTAGCAGACTTACACATGCAAGCATCCGCATCCCAGTGAGAATGCCCTCCAAATCATTAAAGACTAAAAGGAGCGGGCATCAAGCACACTACACTAGTAGCTCACAACGCCTTGCTTAGCCACACCCCCACGGGATACAGCAGTGACAAGAATTAGGCTATGAACGAAAGTTTGACCTAGCCATGCTAATTAGGGTTGGTAAATTTCGTGCCAGC</t>
  </si>
  <si>
    <t>GCATTACTGCCCCATCAACACAAAGGTTTGGTCCTAGCCTTTCTATTAGTTCTTAGCAGACTTACACATGCAAGCATCCGCATCCCAGTGAGAATGCCCTCCAAATCATTAAAGACTAAAAGGAGCGGGTATCAAGCACACTACGCTAGTAGCTCATAACGCCTTGCTTAGCCACACCCCCACGGGATACAGCAGTGACAAGAATTAGGCTATGAACGAAAGTTTGACCTAGTTATGCTGATTAGGGTTGGTAAATTTCGTGCCAGC</t>
  </si>
  <si>
    <t>ACATTACTGCCCCATCAACATAAAGGTTTGGTCCTGGCCTTTCTATTAATTCTTAGCAGACTTACACATGCAAGCATCCGCATCCCAGTGAGAATGCCCTTCAAACCATTAAAGACTAAAAGGAGCGGGCATCAAGCACACTACACTAGTAGCTCAAAACGCCTTGCTTAGCCACACCCCCACGGGATACAGCAGTGACAAGAATTAGGCTATGAACGAAAGTTTGACCTAGCCATGCTAACTAGGGTTGGTAAATTTCGTGCCAGC</t>
  </si>
  <si>
    <t>GCATTACTGCCCCATCAACACAAAGGTTTGGTCCTAGCCTTTCTATTAGTTCTTAGCAGACTTACACATGCAAGCATCCGCATCCCAGTGAGAATGCCCTCCAAATCATTAAAGACTAAAAGGAGCGGGTATCAAGCACACTACACTAGTAGCTCATAACGCCTTGCTTAGCCACACCCCCACGGGATACAGCAGTGACAAGAATTAGGCTATGAACGAAAGTTTGACCTAGCCATGCTAACTAGGGTTGGTAAATTTCGTGCCAGC</t>
  </si>
  <si>
    <t>GCTCACTAGCCCCATAAACATAACGGTTTGGGCCCAGCCTTTCTATTAGTTTTTCATAGAATTACACATGCAAGTATCCGCACTCCGGTGAGAATACCCTCTAAATCACTAAGATTAAAAGGAGCAGGTATCAAGCATGCTACACCAGCAGCTCACAACACCTTGCTTAACCACACCCCCATGGGAGACAGCAGGGATAAAAATTAAGCCATAAATGGAAGTTTGACTAAGCCATATTAATCTGGTTTGGTAAATTTCGTGCCAGC</t>
  </si>
  <si>
    <t>GCTCGCCAGCCCCATCAACATAAAGGTTTGGTCCCAGCCTTTCTATTAATTCTTAACAGACTTACACATGCAAGCATCCACACCCCGGTGAGAATGCCCCCCAAATCATAAAGATCAAAAGGAGCGGGTAGCAAGCACACTGCACTAGCCGCTCACGACACCTTGCTTAGCCACACCCCCACGGGACACAGCAGTGATAAAAATTAAGCCATGAACGAAAGTTTGACTAAGTTATGTTAGCTAGGGTTGGTAAACTTCGTGCCAGC</t>
  </si>
  <si>
    <t>GCTCACTAGCCCCATAAACTTAACGGTTTGGTCCCAGCCTTTCTATTAGTTTTTAATAGAATCACTAAGATTAAAAGGAGCAGGTATCAAGCATGCTACACCAGCAGCTCACAACACCCTGCTTAACCACACCCCCATGGGAGACAGCAGGGATAAAAATTAAGCCATAAATGGAAGTTTGACTAAGCCATATTAATCTGGTTTGGTAAATTTCGTGCCAGC</t>
  </si>
  <si>
    <t>GCATTATTGCCCCATCAACATAAAGGTTTGGTCCTGGCCTTTCTATTAATTCTTAGCAGACTTACACATGCAAGCATCCGCATCCCAGTGAGAATGCCCTCCAAATCACTAAAGACTAAAAGGAGCGGGCATCAAACACACTACACTAGTAGCTCATAACGCCTTGCTTAGCCACACCCCCACGGGATACAGCAGTGACAAGAATTAGGCTATGAACGAAAGTTTGACCTAGCCATGCTAATTAGGGTTGGTAAATTTCGTGCCAGC</t>
  </si>
  <si>
    <t>GCATTACTGCCCCATCAACACAAAGGTTTGGTCCTAGCCTTTCTATTAGTTCTTAGCAGACTTACACATGCAAGCATCCGCATCCCAGTGAGAATGCCCTTCAAACCATTAAAGACTAAAAGGAGCGGGCATCAAGCACACTACACTAGTAGCTCAAAACGCCTTGCTTAGCCACACCCCCACGGGATACAGCAGTGACAAGAATTAGGCTATGAACGAAAGTTTGACCTAGTTATGCTGATTAGGGTTGGTAAATTTCGTGCCAGC</t>
  </si>
  <si>
    <t>ACATTATTGCCCCATCAACATAAAGGTTTGGTCCTGGCCTTTCTATTAGTTCTTAGCAGACTTACACATGCAAGCATCCGCATCCCAGTGAGAATGCCCTTCAAACCATTAAAGACTAAAAGGAGCGGGCATCAAGCACACTACACTAGTAGCTCAAAACGCCTTGCTTAGCCACACCCCCACGGGATACAGCAGTGACAAGAATTAGGCTATGAACGAAAGTTTGACCTAGTTATGCTGATTAGGGTTGGTAAATTTCGTGCCAGC</t>
  </si>
  <si>
    <t>GCATTACTGCCCCATCAACACAAAGGTTTGGTCCTAGCCTTTCTATTAGTTCTTAGCAGATTTACACATGCAAGCATCCGCATCCCAGTGAGAATGCCCTCCGAATCATTAAAGACTAAGAGGAGCGGACATCAAGCACACTACACCAGTAGCTCATAACGCCTTGCTTAGCCACACCCCCACGGGATACAGCAGTGACGAAAATTAGGCTATGAACGAAAGTTTGACCTAGCCATGCTAATTAGGGTTGGTAAACTTCGTGCCAGC</t>
  </si>
  <si>
    <t>ACATTACTGCCCCATCAACATAAAGGTTTGGTCCTGGCCTTTCTATTAATTCTTAGCAGACTTACACATGCAAGCATCCGCATCCCAGTGAGAATGCCCTTCAAACCATTAAAGACTAAAAGGAGCGGGCATCAAGCACACTACACTAGTAGCTCACAACGCCTTGCTTAGCCACACCCCCACGGGATACAGCAGTGACAAGAATTAGGCTATGAACGAAAGTTTGACCTAGCCATGCTAATTAGGGTTGGTAAATTTCGTGCCAGC</t>
  </si>
  <si>
    <t>GCATTATTGCCCCATCAACATAAAGGTTTGGTCCTGGCCTTTCTATTAGTTCTTAGCAGACTTACACATGCAAGCATCCACATCCCAGTGAGAATGCCCTCCAAATCATTAAAGACTAAAAGGAGCGGGCATCAAGCACACTACACTAGTAGCTCACAACGCCTTGCTTAGCCACACCCCCACGGGATACAGCAGTGACAAAAATTAGGCTATGAACGAAAGTTTGACCTAGCCATGCTAATTAGGGTTGGTAAATTTCGTGCCAGC</t>
  </si>
  <si>
    <t>GCATTATTGCCCCATCAACATAAAGGTTTGGTCCTGGCCTTTCTATTAATTCTTAGCAGACTTACACATGCAAGCATCCGCATCCCAGTGAGAATGCCCTCCAAATCACTAAAGACTAAAAGGAGCGGGTATCAAGCACACTACGCTAGTAGCTCATAACGCCTTGCTTAGCCACACCCCCACGGGATACAGCAGTGACAAGAATTAGGCTATGAACGAAAGTTTGACCTAGCCATGCTAACTAGGGTTGGTAAATTTCGTGCCAGC</t>
  </si>
  <si>
    <t>ACATTATTGCCCCATCAACATAAAGGTTTGGTCCTGGCCTTTCTATTAGTTCTTAGCAGACTTACACATGCAAGCATCCGCATCCCAGTGAGAATGCCCTCCAAATCATTAAAGACTAAGAGGAGCGGGCATCAAGCACACTACACTAGTAGCTCATAACGCCTTGCTTAGCCACACCCCCACGGGATACAGCAGTGACAAGAATTAGGCTATGAACGAAAGTTTGACCTAGTTATGCTGATTAGGGTTGGTAAATTTCGTGCCAGC</t>
  </si>
  <si>
    <t>ACATTATTGCCCCATCAACATAAAGGTTTGGTCCTGGCCTTTCTATTAGTTCTTAGCAGACTTACACATGCAAGCATCCGCATCCCAGTGAGAATGCCCTCCAAATCATTAAAGACTAAGAGGAGCGGGCATCAAGCACACTACACTAGTAGCTCATAACGCCTTGCTTAGCCACACCCCCACGGGATACAGCAGTGACAAGAATTAGGCTATGAACGAAAGTTTGACCTAGCTATGCTAATTAGGGTTGGTAAATTTCGTGCCAGC</t>
  </si>
  <si>
    <t>CATTACTGCCCCATCAACATAAAGGTTTGGTCCTGGCCTTTCTATTAATTCTTAGCAGACTTACACATGCAAGCATCCGCATCCCAGTGAGAATGCCCTCCAAATCACTAAAGACTAAAAGGAGCGGGCATCAAGCACACTATACCAGTAGCTCATAACGCCTTGCTTAGCCACACCCCCACGGGATACAGCAGTGACAAGAATTAGGCTATGAACGAAAGTTTGACCTAGTTATGCTGATTAGGGTTGGTAAATTTCGTGCCAGC</t>
  </si>
  <si>
    <t>GCTCGCCAGCCCCATCAACATAAAGGTTTGGTCCCAGCCTTTCTATTAATTCTTAACAGACTTACACATGCAAGCATCCACACCCGGTGAGAATGCCCTCCAAATCATAAAGAGCACAAGGAGCGGGTAGCAAGCACACTGCACTAGCAGCTCACGACACCTTGCTTAGCCACACCCCCACGGGACACAGCAGTGATAAAAATTAAGCCATGAACGAAAGTTTGACTAAGTTATGTTAGCTAGTTGGTAAACTTCGTGCCAGC</t>
  </si>
  <si>
    <t>GCATTATTGCCCCATCAACACAAAGGTTTGGTCCTGGCCTTTCTATTAATTCTTAGCAGACTTACACATGCAAGCATCCGCATCCCAGTGAGAATGCCCTTCAAACCATTAAAGACTAAAAGGAGCGGGCATCAAGCACACTACACTAGTAGCTCAAAACGCCTTGCTTAGCCACACCCCCACGGGATACAGCAGTGACAAGAATTAGGCTATGAACGAAAGTTTGACCTAGTTATGCTGATTAGGGTTGGTAAATTTCGTGCCAGC</t>
  </si>
  <si>
    <t>GCTCGCCAGCCCCATCAACATAAAGGTTTGGTCCCAGCCTTTCTATTAATTCTTAACAGACTTACACATGCAAGCATCCACACCCGGTGAGAATGCCCTCCAAATCATAAAGAGCACAAGGAGCGGGTAGCAAGCACACTGCACTAGCAGCTCACGACACCTTGCTTAGCCACACCCCCACGGGACACAGCAGTGATTAAAATTAAGCCATGAACGAAAGTTTGACTAAGTTATGTTAGCTAGTTGGTAAACTTCGTGCCAGC</t>
  </si>
  <si>
    <t>ACATTACTGCCCCATCAACATAAAGGTTTGGTCCTGGCCTTTCTATTAATTCTTAGCAGACTTACACATGCAAGCATCCGCATCCCAGTGAGAATGCCCTCCAAATCATTAAAGACTAAAAGGAGCGGGCATCAAGCACACTACACTAGTAGCTCAAAACGCCTTGCTTAGCCACACCCCCACGGGATACAGCAGTGACAAGAATTAGGCTATGAACGAAAGTTTGACCTAGTTATGCTGATTAGGGTTGGTAAATTTCGTGCCAGC</t>
  </si>
  <si>
    <t>GCATTATTGCCCCATCAACACAAAGGTTTGGTCCTGGCCTTTCTATTAGTTCTTAGCAGACTTACACATGCAAGCATCCGCATCCCAGTGAGAATGCCCTTCAAACCATTAAAGACTAAAAGGAGCGGGCATCAAGCACACTACACTAGTAGCTCAAAACGCCTTGCTTAGCCACACCCCCACGGGATACAGCAGTGACAAGAATTAGGCTATGAACGAAAGTTTGACCTAGTTATGCTGATTAGGGTTGGTAAATTTCGTGCCAGC</t>
  </si>
  <si>
    <t>ACATTACTGCCCCATCAACATAAAGGTTTGGTCCTGGCCTTTCTATTAGTTCTTAGCAGACTTACACATGCAAGCATCCGCATCCCAGTGAGAATGCCCTCCAAATCATTAAAGACTAAAAGGAGCGGGCATCAAGCACACTACACTAGTAGCTCAAAACGCCTTGCTTAGCCACACCCCCACGGGATACAGCAGTGACAAGAATTAGGCTATGAACGAAAGTTTGACCTAGTTATGCTGATTAGGGTTGGTAAATTTCGTGCCAGC</t>
  </si>
  <si>
    <t>GCATTATTGCCCCATCAACACAAAGGTTTGGTCCTGGCCTTTCTATTAGTTCTTAGCAGACTTACACATGCAAGCATCCGCATCCCAGTGAGAATGCCCTCCAAATCATTAAAGACTAAAAGGAGCGGGCATCAAGCACACTATACTAGTAGCTCATAACGCCTTGCTTAGCCACACCCCCACGGGATACAGCAGTGACAAGAATTAGGCTATGAGCGAAAGTTTGACCTAGCCATGCTAATTAGGGTTGGTAAATTTCGTGCCAGC</t>
  </si>
  <si>
    <t>ACATTACTGCCCCATCAACATAAAGGTTTGGTCCTGGCCTTTCTATTAATTCTTAGCAGACTTACACATGCAAGCATCCGCATCCCAGTGAGAATGCCCTCCAAATCACTAAAGACTAAAAGGAGCGGGCATCAAGCACACTACACTAGTAGCTCAAAACGCCTTGCTTAGCCACACCCCCACGGGATACAGCAGTGACAAGAATTAGGCTATGAACGAAAGTTTGACCTAGTTATGCTGATTAGGGTTGGTAAATTTCGTGCCAGC</t>
  </si>
  <si>
    <t>ACATTACTGCCCCATCAACATAAAGGTTTGGTCCTGGCCTTTCTATTAATTCTTAGCAGACTTACACATGCAAGCATCCGCATCCCAGTGAGAATGCCCTTCAAACCATTAAAGACTAAAAGGAGCGGGCATCAAGCACACTATACCAGTAGCTCATAACGCCTTGCTTAGCCACACCCCCACGGGATACAGCAGTGACAAGAATTAGGCTATGAGCGAAAGTTTGACCTAGCCATGCTAATTAGGGTTGGTAAATTTCGTGCCAGC</t>
  </si>
  <si>
    <t>GCATTATTGCCCCATCAACACAAAGGTTTGGTCCTGGCCTTTCTATTAGTTCTTAGCAGACTTACACATGCAAGCATCCGCATCCCAGTGAGAATGCCCTCCAAATCATTAAAGGCTAAAAGGAGCGGGCATCAAGCACACTACACTAGTAGCTCATAACGCCTTGCTTAGCCACACCCCCACGGGATACAGCAGTGACAAGAATTAGGCTATGAACGAAAGTTTGACCTAGCCATGCTAATTAGGGTTGGTAAATTTCGTGCCAGC</t>
  </si>
  <si>
    <t>GCATTATTGCCCCATCAACACAAAGGTTTGGTCCTGGCCTTTCTATTAGTTCTTAGCAGACTTACACATGCAAGTATCCGCATCCCAGTGAGAATGCCCTCCAAATCATTAAAGACTAAAAGGAGCGGGCATCAAACACACTACACTAGTAGCTCATAACGCCTTGCTTAGCCACACCCCCACGGGATACAGCAGTGACAAGAATTAGGCTATGAACGAAAGTTTGACCTAGCCATGCTAATTAGGGTTGGTAAATTTCGTGCCAGC</t>
  </si>
  <si>
    <t>ACATTACTGCCCCATCAACATAAAGGTTTGGTCCTGGCCTTTCTATTAATTCTTAGCAGACTTACACATGCAAGCATCCGCATCCCAGTGAGAATGCCCTTCAAACCATTAAAGACTAAAAGGAGCGGGCATCAAGCACACTACACTAGTAGCTCAAAACGCCTTGCTTAGCCACACCCCCACGGGATACAGCAGTGACAAGAATTAGGCTATGAACGAAAGTTTGACCTAGCTATGCTAATTAGGGTTGGTAAATTTCGTGCCAGC</t>
  </si>
  <si>
    <t>GCATTATTGCCCCATCAACACAAAGGTTTGGTCCTGGCCTTTCTATTAGTTCTTAGCAGACTTACACATGCAAGCATCCGCATCCCAGTGAGAATGCCCTCCAAATCATTAAAGACTAAAAGGAGCGGGCATCAAACACACTACACTAGTAGCTCATAACGCCTTGCTTAGCCACACCCCCACGGGATACAGCAGTGACAAGAATTAGGCTATGAACGAAAGTTTGACCTAGCCATGCTAATTAGGGTTGGTAAATTTCGTGCCAGC</t>
  </si>
  <si>
    <t>GCATTATTGCCCCATCAACATAAAGGTTTGGTCCTGGCCTTTCTATTAATTCTTAGCAGACTTACACATGCAAGCATCCGCATCCCAGTGAGAATGCCCTCCAAATCACTAAAGACTAAAAGGAGCGGGCATCAAGCACACTATACCAGTAGCTCATAACGCCTTGCTTAGCCACACCCCCACGGGATACAGCAGTGACAAGAATTAGGCTATGAACGAAAGTTTGACCTAGCCATGCTAACTAGGGTTGGTAAATTTCGTGCCAGC</t>
  </si>
  <si>
    <t>GCATTATTGCCCCATCAACACAAAGGTTTGGTCCTGGCCTTTCTATTAGTTCTTGGCAGACTTACACATGCAAGCATCCGCATCCCAGTGAGAATGCCCTCCAAATCACTAAAGACTAAAAGGAGCGGGCATCAAGCACACTATACCAGTAGCTCATAACGCCTTGCTTAGCCACACCCCCACGGGATACAGCAGTGACAAGAATTAGGCTATGAGCGAAAGTTTGACCTAGCCATGCTAATTAGGGTTGGTAAATTTCGTGCCAGC</t>
  </si>
  <si>
    <t>ACATTACTGCCCCATCAACATAAAGGTTTGGTCCTGGCCTTTCTATTAATTCTTAGCAGACTTACACATGCAAGCATCCGCATCCCAGTGAGAATGCCCTTCAAACCATTAAAGACTAAAAGGAGCGGGCATCAAGCACACTACACTAGTAGCTCAAAACGCCTTGCTTAGCCACACCCCCACGGGATACAGCAGTGACAAGAATTAGGCTATGAGCGAAAGTTTGACCTAGCCATGCTAATTAGGGTTGGTAAATTTCGTGCCAGC</t>
  </si>
  <si>
    <t>GCATTACTGCCCCATCAACACAAAGGTTTGGTCCTAGCCTTTCTATTAGTTCTTAGCAGACTTACACATGCAAGCATCCGCATCCCAGTGAGAATGCCCTCCAAATCACTAAAGACTAAAAGGAGCGGGCATCAAGCACACTATACCAGTAGCTCATAACGCCTTGCTTAGCCACACCCCCACGGGATACAGCAGTGACAAGAATTAGGCTATGAGCGAAAGTTTGACCTAGCCATGCTAATTAGGGTTGGTAAATTTCGTGCCAGC</t>
  </si>
  <si>
    <t>GCATTACTGCCCCATCAACACAAAGGTTTGGTCCTAGCCTTTCTATTAGTTCTTAGCAGACTTACACATGCAAGCATCCGCATCCCAGTGAGAATGCCCTCCAAATCATTAAAGACTAAAAGGAGCGGGTATCAAGCACACTACGCTAGTAGCTCATAACGCCTTGCTTAGCCACACCCCCACGGGATACAGCAGTGACAAGAATTAGGCTATGAACGAAAGTTTGACCTAGCCATGCTAACTAGGGTTGGTAAATTTCGTGCCAGC</t>
  </si>
  <si>
    <t>GCATTATTGCCCCATCAACACAAAGGTTTGGTCCTGGCCTTTCTATTAGTTCTTAGCAGACTTACACATGCAAGTATCCACATCCCAGTGAGAATGCCCTCCAAATCATTAAAGACTAAAAGGAGCGGGCATCAAACACACTACACTAGTAGCTCATAACGCCTTGCTTAGCCACACCCCCACGGGATACAGCAGTGACAAGAATTAGGCTATGAACGAAAGTTTGACCTAGCCATGCTAATTAGGGTTGGTAAATTTCGTGCCAGC</t>
  </si>
  <si>
    <t>GCTCGCCAGCCCCATCAACATAAAGGTTTGGTCCCAGCCTTTCTATTAATTCTTAACAGACTTACACATACAAGCATCCACATCCCGGTGAGAATGCCCTCCAAATCACAAGGATCAAAAGGAGCGGGTATCAAGCACGCTACACTAGCAGCTCACAACACCTTGCTTAGCCACACCCCCACGGGACACAACAGTGATAAAAATTAAGCCATGAACGAAAGTTTGACTAAGTCATGTTAACTAGGGTTGGTAAACTTCGAGCCAGC</t>
  </si>
  <si>
    <t>GCATTATTGCCCCATCAACATAAAGGTTTGGTCCTGGCCTTTCTATTAGTTCTTAGCAGACTTACACATGCAAGCATCCGCATCCCAGTGAGAATGCCCTCCAAATCACTAAAGACTAAAAGGAGCGGGCATCAAGCACACTATACCAGTAGCTCATAACGCCTTGCTTAGCCACACCCCCACGGGATACAGCAGTGACAAGAATTAGGCTATGAGCGAAAGTTTGACCTAGCCATGCTAATTAGGGTTGGTAAATTTCGTGCCAGC</t>
  </si>
  <si>
    <t>GCATTATTGCCCCATCAACATAAAGGTTTGGTCCTGGCCTTTCTATTAGTTCTTAGCAGACTTACACATGCAAGCATCCGCATCCCAGTGAGAATGCCCTCCAAATCATTAAAGACTAAAAGGAGCGGGCATCAAGCACACTACACTAGTAGCTCATAACGCCTTGCTTAGCCACACCCCCATGGGATACAGCAGTGACAAGAATTAGGCTATGAACGAAAGTTTGACCTAGCCATGCTAATTAGGGTTGGTAAATTTCGTGCCAGC</t>
  </si>
  <si>
    <t>GCATTATTGCCCCATCAACATAAAGGTTTGGTCCTGGCCTTTCTATTAATTCTTAGCAGACTTACACATGCAAGCATCCGCATCCCAGTGAGAATGCCCTCCAAATCACTAAAGACTAAAAGGAGCGGGCATCAAGCACACTATACTAGTAGCTCATAACGCCTTGCTTAGCCACACCCCCACGGGATACAGCAGTGACAAGAATTAGGCTATGAACGAAAGTTTGACCTAGCCATGCTAATTAGGGTTGGTAAATTTCGTGCCAGC</t>
  </si>
  <si>
    <t>GCATTATTGCCCCATCAACATAAAGGTTTGGTCCTGGCCTTTCTATTAATTCTTAGCAGACTTACACATGCAAGCATCCGCATCCCAGTGAGAATGCCCTTCAAACCATTAAAGACTAAAAGGAGCGGGCATCAAGCACACTACACTAGTAGCTCAAAACGCCTTGCTTAGCCACACCCCCACGGGATACAGCAGTGACAAGAATTAGGCTATGAACGAAAGTTTGACCTAGTTATGCTGATTAGGGTTGGTAAATTTCGTGCCAGC</t>
  </si>
  <si>
    <t>GCATTATTGCCCCATCAACATAAAGGTTTGGTCCTGGCCTTTCTATTAATTCTTAGCAGACTTACACATGCAAGCATCCGCATCCCAGTGAGAATGCCCTCCAAATCACTAAAGACTAAAAGGAGCGGGCATCAAGCACACTATACCAGTAGCTCATAACGCCTTGCTTAGCCACACCCCCACGGGATACAGCAGTGACGAAAATTAGGCTATGAACGAAAGTTTGACCTAGCCATGCTAATTAGGGTTGGTAAACTTCGTGCCAGC</t>
  </si>
  <si>
    <t>GCATTATTGCCCCATCAACATAAAGGTTTGGTCCTGGCCTTTCTATTAATTCTTAGCAGACTTACACATGCAAGCATCCGCATCCCAGTGAGAATGCCCTCCAAATCATTAAAGACTAAAAGGAGCGGGCATCAAGCACACTATACCAGTAGCTCATAACGCCTTGCTTAGCCACACCCCCACGGGATACAGCAGTGACAAGAATTAGGCTATGAGCGAAAGTTTGACCTAGCCATGCTAATTAGGGTTGGTAAATTTCGTGCCAGC</t>
  </si>
  <si>
    <t>GCATTATTGCCCCGTCAACATAAAGGTTTGGTCCTGGCCTTTCTATTAGTTCTTAGCAGATTTACACATGCAAGCATCCGCATCCCAGTGAGAATGCCCTCCGAATCATTAAAGACTAAAAGGAGCGGGCATCAAGCACACTATACTAGTAGCTCATAACGCCTTGCTTAGCCACACCCCCACGGGATACAGCAGTGACAAGAATTAGGCTATGAACGAAAGTTTGACCTAGCCATGCTAATTAGGGTTGGTAAACTTCGTGCCAGC</t>
  </si>
  <si>
    <t>GCATTATTGCCCCGTCAACATAAAGGTTTGGTCCTGGCCTTTCTATTAGTTCTTAGCAGACTTACACATGCAAGCATCCGCATCCCAGTGAGAATGCCCTCCAAATCACTAAAGACTAAAAGGAGCGGGCATCAAGCACACTATACCAGTAGCTCATAACGCCTTGCTTAGCCACACCCCCACGGGATACAGCAGTGACAAGAATTAGGCTATGAGCGAAAGTTTGACCTAGCCATGCTAATTAGGGTTGGTAAATTTCGTGCCAGC</t>
  </si>
  <si>
    <t>ACATTACTGCCCCATCAACATAAAGGTTTGGTCCTGGCCTTTCTATTAATTCTTAGCAGACTTACACATGCAAGCATCCGCATCCCAGTGAGAATGCCCTTCAAACCATTAAAGACTAAAAGGAGCGGGCATCAAGCACACTACACTAGTAGCTCATAACGCCTTGCTTAGCCACACCCCCACGGGATACAGCAGTGACAAGAATTAGGCTATGAACGAAAGTTTGACCTAGTTATGCTGATTAGGGTTGGTAAATTTCGTGCCAGC</t>
  </si>
  <si>
    <t>GCATTATTGCCCCATCAACACAAAGGTTTGGTCCTGGCCTTTCTATTAGTTCTTAGCAGACTTACACATGCAAGCATCCGCATCCCAGTGAGAATGCCCTCCAAATCATTAAAGACTAAAAGGAGCGGGCATCAAGCACACTATACCAGTAGCTCATAACGCCTTGCTTAGCCACACCCCCACGGGATACAGCAGTGACAAGAATTAGGCTATGAGCGAAAGTTTGACCTAGCCATGCTAATTAGGGTTGGTAAATTTCGTGCCAGC</t>
  </si>
  <si>
    <t>GCCTATCGCCCCATCAACACAAAGGTTTGGTCCTGGCCTTTCTATTAGTTCTTAGCAGCCTTACACATGCAAGCATCCGCATCCCAGTGAGAATGCCCTTCAAATCATAGAGACCAAAAGGAGCAGGCATCAAGCACACTACATTAGTAGCTCACAACGCCTTGCTTAGCCACACCCCCACGGGAGACAGCAGTGACAAAAATTAGGCTATGAACGAAAGTTTGACCTAGCCATGCTAATCAGGGTTGGTAAATTTCGTGCCAGC</t>
  </si>
  <si>
    <t>GCATTATTGCCCCATCAACACAAAGGTTTGGTCCTGGCCTTTCTATTAATTCTTAGCAGACTTACACATGCAAGCATCCGCATCCCAGTGAGAATGCCCTCCAAATCACTAAAGACTAAAAGGAGCGGGCATCAAGCACACTATACCAGTAGCTCATAACGCCTTGCTTAGCCACACCCCCACGGGATACAGCAGTGACAAGAATTAGGCTATGAGCGAAAGTTTGACCTAGCCATGCTAATTAGGGTTGGTAAATTTCGTGCCAGC</t>
  </si>
  <si>
    <t>GCATTATTGCCCCATCAACACAAAGGTTTGGTCCTGGCCTTTCTATTAGTTCTTAGCAGACTTACACATGCAAGCATCCGCATCCCAGTGAGAATGCCCTCCAAATCATTAAAGACTAAAAGGAGCGGGCATCAAGCACACTATACTAGTAGCTCATAACGCCTTGCTTAGCCACACCCCCACGGGATACAGCAGTGACAAGAATTAGGCTATGAACGAAAGTTTGACCTAACCATGCTAATTAGGGTTGGTAAATTTCGTGCCAGC</t>
  </si>
  <si>
    <t>GCATTATTGCCCCATCAACATAAAGGTTTGGTCCTGGCCTTTCTATTAATTCTTAGCAGACTTACACATGCAAGCATCCGCATCCCAGTGAGAATGCCCTCCAAATCACTAAAGACTAAAAGGAGCGGGCATCAAGCACACTATACCAGTAGCTCATAACGCCTTGCTTAGCCACACCCCCACGGGATACAGCAGTGACAAGAATTAGGCTATGAGCGAAAGTTTGACCTAGCCATGCTAATTAGGGTTGGTAAACTTCGTGCCAGC</t>
  </si>
  <si>
    <t>GCATTATTGCCCCGTCAACATAAAGGTTTGGTCCTGGCCTTTCTATTAATTCTTAGCAGACTTACACATGCAAGCATCCGCATCCCAGTGAGAATGCCCTCCAAATCACTAAAGACTAAAAGGAGCGGGCATCAAGCACACTATACCAGTAGCTCATAACGCCTTGCTTAGCCACACCCCCACGGGATACAGCAGTGACAAGAATTAGGCTATGAGCGAAAGTTTGACCTAGCCATGCTAATTAGGGTTGGTAAATTTCGTGCCAGC</t>
  </si>
  <si>
    <t>GCATTATTGCCCCGTCAACATAAAGGTTTGGTCCTGGCCTTTCTATTAGTTCTTAGCAGATTTACACATGCAAGCATCCGCATCCCAGTGAGAATGCCCTCCGAATCATTAAAGACTAAGAGGAGCGGACATCAAGCACACTACACCAGTAGCTCATAACGCCTTGCTTAGCCACACCCCCACGGGATACAGCAGTGACAAGAATTAGGCTATGAGCGAAAGTTTGACCTAGCCATGCTAATTAGGGTTGGTAAATTTCGTGCCAGC</t>
  </si>
  <si>
    <t>GCATTATTGCCCCATCAACACAAAGGTTTGGTCCTGGCCTTTCTATTAGTTCTTAGCAGACTTACACATGCAAGCATCCGCATCCCAGTGAGAATGCCCTCCAAATCACTAAAGACTAAAAGGAGCGGGCATCAAGCACACTATACCAGTAGCTCATAACGCCTTGCTTAGCCACACCCCCACGGGATACAGCAGTGACAAGAATTAGGCTATGAGCGAAAGTTTGACCTAGCCATGCTAATTAGGGTTGGTAAATTTCGTGCCAGC</t>
  </si>
  <si>
    <t>GCATTATTGCCCCATCAACATAAAGGTTTGGTCCTGGCCTTTCTATTAATTCTTAGCAGACTTACACATGCAAGCATCCGCATCCCAGTGAGAATGCCCTCCAAATCACTAAAGACTAAAAGGAGCGGGCATCAAGCACACTATACCAGTAGCTCATAACGCCTTGCTTAGCCACACCCCCACGGGATACAGCAGTGACAAGAATTAGGCTATGAACGAAAGTTTGACCTAGCCATGCTAATTAGGGTTGGTAAATTTCGTGCCAGC</t>
  </si>
  <si>
    <t>GCATTATTGCCCCATCAACATAAAGGTTTGGTCCTGGCCTTTCTATTAATTCTTAGCAGACTTACACATGCAAGCATCCGCATCCCAGTGAGAATGCCCTCCAAATCACTAAAGACTAAAAGGAGCGGGCATCAAGCACACTACACCAGTAGCTCACAACGCCTTGCTTAGCCACACCCCCACGGGATACAGCAGTGACAAAAATTAGGCTATGAACGAAAGTTTGACCTAGCCATGCTAATCAGGGTTGGTAAACTTCGTGCCAGC</t>
  </si>
  <si>
    <t>CATTACTGCCCCATCAACATAAAGGTTTGGTCCTAGCCTTTCTATTAGTTCTTAGCAGATTTACACATGCAAGCATCCGCATCCCAGTGAAAATGCCCTCCAAATCACTAAAGACTAAAAGGAGCGGGCATCAAGCACACTACACCAGTAGCTCACAACGCCTTGCTTAGCCACACCCCCACGGGATACAGCAGTGACAAAAATTAGGCTATGAACGAAAGTTTGACCTAGCCATGCTAATCAGGGTTGGTAAACTTCGTGCCAGC</t>
  </si>
  <si>
    <t>GCATTATTGCCCCGTCAACATAAAGGTTTGGTCCTGGCCTTTCTATTAGTTCTTAGCAGATTTACACATGCAAGCATCCGCATCCCAGTGAGAATGCCCTCCGAATCATTAAAGACTAAGAGGAGCGGACATCAAGCACACTACACCAGTAGCTCATAACGCCTTGCTTAGCCACACCCCCACGGGATACAGCAGTGACGAAAATTAGGCTATGAACGAAAGTTTGACCTAGCCATGCTAATTAGGGTTGGTAAATTTCGTGCCAGC</t>
  </si>
  <si>
    <t>GCATTATTGCCCCATCAACACAAAGGTTTGGTCCTGGCCTTTCTATTAGTTCTTGGCAGACTTACACATGCAAGCATCCGCATCCCAGTGAGAATGCCCTCCAAATCATTAAAGACTAAAAGGAGCGGGCATCAAGCACACTATACCAGTAGCTCATAACGCCTTGCTTAGCCACACCCCCACGGGATACAGCAGTGACAAGAATTAGGCTATGAACGAAAGTTTGACCTAGCCATGCTAATTAGGGTTGGTAAATTTCGTGCCAGC</t>
  </si>
  <si>
    <t>GCATTATTGCCCCATCAACACAAAGGTTTGGTCCTGGCCTTTCTATTAGTTCTTGGCAGACTTACACATGCAAGCATCCGCATCCCAGTGAGAATGCCCTCCAAATCATTAAAGACTAAAAGGAGCGGGCATCAAGCACACTATACTAGTAGCTCATAACGCCTTGCTTAGCCACACCCCCACGGGATACAGCAGTGACAAGAATTAGGCTATGAACGAAAGTTTGACCTAGCCATGCTAATTAGGGTTGGTAAATTTCGTGCCAGC</t>
  </si>
  <si>
    <t>GCATTATTGCCCCATCAACACAAAGGTTTGGTCCTGGCCTTTCTATTAGTTCTTAGCAGACTTACACATGCAAGCATCCGCATCCCAGTGAGAATGCCCTCCAAATCATTAAAGACTAAAAGGAGCGGGCATCAAGCACACTATACTAGTAGCTCATAACGCCTTGCTTAGCCACACCCCCACGGGATACAGCAGTGACAAGAATTAGGCTATGAACGAAAGTTTGACCTAGCCATGCTAATTAGGGTTGGTAAATTTCGTGCCAGC</t>
  </si>
  <si>
    <t>ACATTACTGCCCCATCAACATAAAGGTTTGGTCCTGGCCTTTCTATTAATTCTTAGCAGACTTACACATGCAAGCATCCGCATCCCAGTGAGAATGCCCTTCAAACCATTAAAGACTAAAAGGAGCGGGCATCAAGCACACTACACTAGTAGCTCAAAACGCCTTGCTTAGCCACACCCCCACGGGATACAGCAGTGACAAGAATTAGGCTATGAACGAAAGTTTGACCTAGTTATGCTGATTAGGGTTGGTAAATTTCGTGCCAGC</t>
  </si>
  <si>
    <t>GCATTATTGCCCCGTCAACATAAAGGTTTGGTCCTGGCCTTTCTATTAGTTCTTAGCAGATTTACACATGCAAGCATCCGCATCCCAGTGAGAATGCCCTCCGAATCATTAAAGACTAAGAGGAGCGGACATCAAGCACACTACACCAGTAGCTCATAACGCCTTGCTTAGCCACACCCCCACGGGATACAGCAGTGACGAAAATTAGGCTATGAACGAAAGTTTGACCTAGCCATGCTAATTAGGGTTGGTAAACTTCGTGCCAGC</t>
  </si>
  <si>
    <t>GCATTATTGCCCCATCAACATAAAGGTTTGGTCCTGGCCTTTCTATTAATTCTTAGCAGACTTACACATGCAAGCATCCGCATCCCAGTGAGAATGCCCTCCAAATCACTAAAGACTAAAAGGAGCGGGCATCAAGCACACTATACCAGTAGCTCATAACGCCTTGCTTAGCCACACCCCCACGGGATACAGCAGTGACAAGAATTAGGCTATGAGCGAAAGTTTGACCTAGCCATGCTAATTAGGGTTGGTAAATTTCGTGCCAGC</t>
  </si>
  <si>
    <t>seq</t>
  </si>
  <si>
    <t>species</t>
  </si>
  <si>
    <t>family</t>
  </si>
  <si>
    <t>Claident automatic taxa assignment</t>
  </si>
  <si>
    <t>GCCATCTTCAGCAAACCCTAAAAAAGGAACGAAAGTAAGCACAACTACCGCACGTAAAAACGTTAGGTCAAGGTGTAACCTATGGATTGGGAAGAAATGGGCTACATTTTCTATAATAAGAACACCCCTTAAACTCACACGAAAGTTTTTATGAAACCTAAAAACTAAAGGAGGATTTAGCAGTAAATTAAGAATAGAATGCTTAATTGAATAAGGCCATGAAGCACGCACACACCGCCCGTCACCCTCCTCAAGTACCGTAGCAAAGCCCCAGATCGCTAACCCATGCTAAGCAAGCGTACAAGAGGAGACAAGTCGTAACAA</t>
  </si>
  <si>
    <t>GCCATCTTCAGCAAACCCTAAAAAGGAATGAAAGTAAGCACAACTATTGCACGTAAAAACGTTAGGTCAAGGTGTAACCTATGGATTGGGAAGAAATGGGCTACATTTTCTATAATAAGAACACCCCTTAAACTCACACGAAAGTTTTTATGAAACCTAAAAACTAAAGGAGGATTTAGCAGTAAATTAAGAATAGAATGCTTAATTGAATAAGGCCATGAAGCACACACACACCGCCCGTCACCCTCCTCAAGTATCATAGCAAAGCCCCAGTTCACTAACCCATGCTAAGCAACTATACGAGAGGAGACAAGTCGTAACAA</t>
  </si>
  <si>
    <t>GCCATCTTCAGCAAACCCTAAAAAAGGAATGAAAGTAAGCACAACTATTGCACATAAAAACGTTAGGTCAAGGTGTAACCTATGGATTGGGAAGAAATGGGCTACATTTTCTATAATAAGAACACCCCTTAAACTTACACGAAAGTTTTTATGAAACCTAAAAACTAAAGGAGGATTTAGCAGTAAATTAAGAATAGAATGCTTAATTGAATAAGGCCATGAAGCACGCACACACCGCCCGTCACCCTCCTCAAGTACCATAGCATAAGCCCCAGATCACTAACCCACGCTAAGCAAGCGTACAAGAGGAGACAAGTCGTAACAA</t>
  </si>
  <si>
    <t>GCCATCTTCAGCAAACCCTAAAAAGGAATGAAAGTAAGCACAACTATTGCACGTAAAAACGTTAGGTCAAGGTGTAACCTATGGATTGGGAAGAAATGGGCTACATTTTCTATAATAAGAACACCCCTTAAACTCACACGAAAGTTTTTATGAAACCTAAAAACTAAAGGAGGATTTAGCAGTAAATTAAGAATAGAATGCTTAATTGAATAAGGCCATGAAGCACGCACACACCGCCCGTCACCCTCCTCAAGTACCATAGCTAAGCCCTAGATTGCTAACCCATGCTAAGCAAGCATACAAGAGGAGACAAGTCGTAACAA</t>
  </si>
  <si>
    <t>GCCATCTTCAGCAAACCCTAAAAAGGAATGAAAGTAAGCACAACTATTGCACGTAAAAACGTTAGGTCAAGGTGTAACCTATGGATTGGGAAGAAATGGGCTACATTTTCTATAATAAGAACACCCCTCATACCCACACGAAAGTTTTTATGAAATCTAAAAACCAAAGGAGGATTTAGTAGTAATTTAAGAGCAGAGTGCTTAATTGAATAAGGCCATGAAGCACGCACACACCGCCCGTCACCCTCCTCAAGTGCCATAGCAAAGCCCCAGATTGCTAACCCATGCTAAGCAAGCGTACAAGAGGAGACAAGTCGTAACAA</t>
  </si>
  <si>
    <t>GCCATCTTCAGCAAACCCTAAAAAAGGAACGAAAGTAAGCACAACTACCGCACGTAAAAACGTTAGGTCAAGGTGTAACCTATGGATTGGGAAGAAATGGGCTACATTTTCTATAATAAGAACACCCCTTAAACTCACACGAAAGTTTTTATGAAACCTAAAAACTAAAGGAGGATTTAGCAGTAAATTAAGAATAGAATGCTTAATTGAATAAGGCCATGAAGCACACACACACCGCCCGTCACCCTCCTCAAATATCATAGCAAAGCCCCAGTTCACTAACCCATGCTAAGCAACTATACGAGAGGAGACAAGTCGTAACAA</t>
  </si>
  <si>
    <t>GCCATCTTCAGCAAACCCTGAAAAAGGAACGAAAGTAAGCACAACTATCACACATAAAAACGTTAGGTCAAGGTGTCACCTATGGATTGGGAAGAAATGGGCTACATTTTCTACAGTAAGAACACCCCTTAAACTCACACGAAAGTTTTTATGAAACCTAAAAACTAAAGGAGGATTTAGCAGTAAATTAAGAATAGAATGCTTAATTGAATAAGGCCATGAAGCACGCACACACCGCCCGTCACCCTCCTCAAGTACCATAGCATAAGCCCCAGATCACTAACCCACGCTAAGCAAGCGTACAAGAGGAGACAAGTCGTAACAA</t>
  </si>
  <si>
    <t>GCCATCTTCAGCAAACCCTAGAAAAGGAACGAAAGTAAGCACAACTACTACACGTAAAAACGTTAGGTCAAGGTGTAACCTATGGATTGGGAAGAAATGGGCTACATTTTCTATAATAAGAACACCCCTTAAACTCACACGAAAGTTTTTATGAAACCTAAAAACTAAAGGAGGATTTAGCAGTAAATTAAGAATAGAATGCTTAATTGAATAAGGCCATGAAGCTCGCACACACCGCCTGTCACCCTCCTCAAGTACCACAGCAAAGCCCCAGCTTACTAACCCATGCTAAGCAACTATACGAGAGGAGACAAGTCGTAACAA</t>
  </si>
  <si>
    <t>GCCATCTTCAGCAAACCCTAAAAAAGGAACGAAAGTAAGCACAACTATCGCACATAAAAACGTTAGGTCAAGGTGTAACCTACGGATTGGGAAGAAATGGGCTACATTTTCTATAATAAGAACACCCCTTATAACCCACACGAAAGTTTTTATGAAACCTAAAAACTAAAGGAGGATTTAGCAGTAAATTAAGAATAGAATGCTTAATTGAATAAGGCCATGAAGCACGCACACACCGCCCGTCACCCTCCTCAAGTGCCATAGCAAAGCCCCAGATCGCTAACCCATGCTAAGCAAGCGTACAAGAGGAGACAAGTCGTAACAA</t>
  </si>
  <si>
    <t>GCCATCTTCAGCAAACCCTAGAAAAGGAACGAAAGTAAGCACAACTACTACACGTAAAAACGTTAGGTCAAGGTGTAACCTATGGATTGGGAAGAAATGGGCTACATTTTCTATAATAAGAACACCCCTTAAACTCACACGAAAGTTTTTATGAAACCTAAAAACTAAAGGAGGATTTAGCAGTAAATTAAGAATAGAATGCTTAATTGAATAAGGCCATGAAGCACACACACACCGCCCGTCACCCTCCTCAAGTATCATAGCAAAGCCCCAGTTCACTAACCCATGCTAAGCAACTATACGAGAGGAGACAAGTCGTAACAA</t>
  </si>
  <si>
    <t>GCCATCTTCAGCAAACCCTAAAAGGGAGCGAAAGTAAGCATAACTACCATACATAAATATGTTAGGTCAAGGTGTAACCTATGGGATGGGAAGAAATGGGCTACATTTTCTATACTAAGAACACCCCTCATACCCACATGAAAGTTTTTATGAAATTTAAAAACCAAAGGAGGATTTAGTAGTAATTTAAGAGCAGAGTGCTTAATTGAATAAGGCCATGAAGCACGCACACACCGCCCGTCACCCTCCTCAAGTGCCATAGCAAAGCCCCAGATCACTAACCCATGCTAAGCAAGCGTACAAGAGGAGACAAGTCGTAACAA</t>
  </si>
  <si>
    <t>GCCATCTTCAGCAAACAGCAAACCCTAAAAAAGGAACGAAAGCAAGCACAACTATCGCACATAAAAACGTTAGGTCAAGGCGTAACCTATGGATTGGGAAGAAATGGGCTACATTTTCTATAATAAGAACACCCCTTAAACTTACACGAAAGTTTTTATGAAATCTAAAAACTAAAGGAGGATTTAGCAGTAAATTAAGAACAGAATGCTTAATTGAATAAGGCCATGAAGCACGCACACACCGCCCGTCACCCTCCTCAAGTGCCATAGCAAAGCCCCAGATTGCTAACCCATGCTAAGCAAGCGTACAAGAGGAGACAAGTCGTAACAA</t>
  </si>
  <si>
    <t>GCCATCTTCAGCAAACCCTAGAAAAGGAACGAAAGTAAGCACAACTACTACACGTAAAAACGTTAGGTCAAGGTGTAACCTATGGATTGGGAAGAAATGGGCTACATTTTCTACAGTAAGAACACCCCTTATATCCACACGAAAGTTTTTATGAAACCTAAAAACTAAAGGAGGATTTAGCAGTAAATTAAGAATAGAATGCTTAATTGAATAAGGCCATGAAGCACGCACACACCGCCCGTCACCCTCCTCAAGTACCATAGCAAAGCCCCAGATCACTAACGCATGCTAAGCAAGCGTACAAGAGGAGACAAGTCGTAACAA</t>
  </si>
  <si>
    <t>GCCATCTTCAGCAAACCCTAAAAAAGGAACGAAAGTAAGCACAACTATTGCACGTAAAAACGTTAGGTAAAGGTGTAACCTATGGATTGGGAAGAAATGGGCTACATTTTCTATGATAAGAACATCCCTTAAACTTACACGAAAGTTTTTATGAAACCTAAAAACTAAAGGAGGATTTAGCAGTAAATTAAGAATAGAATGCTTAATTGAATAAGGCCATGAAGCACGCACACACCGCCCGTCACCCTCCTCAAGTGCCATAGCAAAGCCCCAGATCGCTAACCCATGCTAAGCAAGCGTACAAGAGGAGACAAGTCGTAACAA</t>
  </si>
  <si>
    <t>GCCATCTTCAGCAAACCCTAAAAAGGAATGAAAGTAAGCACAACTATTGCACGTAAAAACGTTAGGTCAAGGTGTAACCTATGGATTGGGAAGAAATGGGCTACATTTTCTATATTAAGAACACCCCTTATATCCACACGAAAGTTTTTATGAAATCTAAAAACTAAAGGAGGATTTAGTAGTAAATTAAGAGCAGAGTGCTTAATTGAATAAGGCCATGAAGCACGCACACACCGCCCGTCACCCTCCTCAAGTATCACAGCAAAGCCCCAGCTCACTAACCCATGCTAAGCAACTATACGAGAGGAGACAAGTTGTAACAA</t>
  </si>
  <si>
    <t>GCCATCTTCAGCAAACCCTGAAAAAGGAACGAAAGTAAGCACAACTATTGCACATAAAAACGTTAGGTCAAGGTGTAACCTATGGATTGGGAAGAAATGGGCTACATTTTCTATAATAAGAACACCCCTTAAACTCACACGAAAGTTTTTATGAAACCTAAAAACTAAAGGAGGATTTAGCAGTAAATTAAGAATAGAATGCTTAATTGAATAAGGCCATGAAGCACGCACACACCGCCCGTCACCCTCCTCAAGTACCATAGCATAAGCCCCAGATCACTAACCCACGCTAAGCAAGCGTACAAGAGGAGACAAGTCGTAACAA</t>
  </si>
  <si>
    <t>GCCATCTTCAGCAAACCCTGAAAAAGGAACGAAAGTAAGCACAACTATCACACATAAAAACGTTAGGTCAAGGTGTCACCTATGGATTGGGAAGAAATGGGCTACATTTTCTACAGTAAGAACACCCCTTATATCCACACGAAAGTTTTTATGAAACCTAAAAACTAAAGGAGGATTTAGCAGTAAATTAAGAATAGAATGCTTAATTGAATAAGGCCATGAAGCACGCACACACCGCCCGTCACCCTCCTCAAGTACCATAGCATAAGCCCCAGATCACTAACCCACGCTAAGCAAGCGTACAAGAGGAGACAAGTCGTAACAA</t>
  </si>
  <si>
    <t>GCCATCTTCAGCAAACCCTAAAAAGGAATGAAAGTAAGCACAACTATTGCACGTAAAAACGTTAGGTCAAGGTGTAACCTATGGATTGGGAAGAAATGGGCTACATTTTCTATAATAAGAACACCCCTTAAACTTACACGAAAGTTTTTATGAAATCTAAAAACTAAAGGAGGATTTAGCAGTAAATTAAGAATAGAATGCTTAATTGAATAAGGCCATGAAGCATGCACACACCACCCGTCACCCTCCTCAAGTACCATAGAAAAGCCCCAGATCACTAACCCATGCTAAGCAAGCGTACAAGAGGAGACAAGTCGTAACAA</t>
  </si>
  <si>
    <t>GCCATCTTCAGCAAACCCTAAAAAGGAATGAAAGTAAGCACAACTATTGCACGTAAAAACGTTAGGTCAAGGTGTAACCTATGGGATGGGAAGAAATGGGCTACATTTTCTATACTAAGAACACCCCTTATATCCACACGAAAGTTTTTATGAAATCTAAAAACTAAAGGAGGATTTAGTAGTAAATTAAGAGCAGAGTGCTTAATTGAATAAGGCCATGAAGCACGCACACACCGCCCGTCACCCTCCTCAAGTATCACAGCAAAGCCCCAGCTCACTAACCCATGCTAAGCAACTATACGAGAGGAGACAAGTTGTAACAA</t>
  </si>
  <si>
    <t>GCCATCTTCAGCAAACCCTAAAAAAGGAACGAAAGTAAGCACAACTACCGCACGTAAAAACGTTAGGTCAAGGTGTAACCTATGGATTGGGAAGAAATGGGCTACATTTTCTATAATAAGAACACCCCTTAAACTCACACGAAAGTTTTTATGAAACCTAAAAACTAAAGGAGGATTTAGCAGTAAATTAAGAATAGAATGCTTAATTGAATAAGGCCATGAAGCACGCACACACCGCCCGTCACCCTCCTCAAGTGCCATAGCAAAGACCCAGATCGCTAACCCATGCTAAGCAAGCGTACAAGAGGAGACAAGTCGTAACAA</t>
  </si>
  <si>
    <t>GCCATCTTCAGCAAACCCTAAAAAGGAATGAAAGTAAGCACAACTATTGCACGTAAAAACGTTAGGTCAAGGTGTAACCTATGGGATGGGAAGAAATGGGCTACATTTTCTATACTAAGAACACCCCTTATATCCACACGAAAGTTTTTATGAAATCTAAAAACTAAAGGAGGATTTAGTAGTAAATTAAGAGCAGAGTGCTTAATTGAATAAGGCCATGAAGCACGCACACACCGCCCGTCACCCTCCTCAAGTATCACAGCAAAGCCCCAGCTCACTAACCCATGCTAAGCAACTATACAAGAGGAGACAAGTTGTAACAA</t>
  </si>
  <si>
    <t>TCCATCTTCAGCAAACCCTAAAAAGAAGCAAAAGTAAGCATAATTATGACACATAAAAACTTTAGGTCAAGGTGTAACCTATGGGGTGGGAAGAAATGGGCTACATTTTCTACACCAAGAACACCCTTTACCCACACTAAAGTTTTTATGAAACCTAAAAACTAAAGGAGGATTTAGCAGTAAATTAAGAGTAGAGCGCTTAATTGAATAAGGCCATGAAGCGTGCACACACCGCCCGTCACCTTCCTCAAGTGCCATAGCAAAGCCCCAGATCACTAACCCATGCTAAGCAAGCGTACAAGAGGAGACAAGTCGTAACAA</t>
  </si>
  <si>
    <t>GCCATCTTCAGCAAACCCTAAAAAGGAATGAAAGTAAGCACAACTATTGCACGTAAAAACGTTAGGTCAAGGTGTAACCTATGGATTGGGAAGAAATGGGCTACATTTTCTATAATAAGAACACCCCTTAAACTTACACGAAAGTTTTTATGAAATCTAAAAACTAAAGGAGGATTTAGCAGTAAATTAAGAACAGAATGCTTAATTGAATAAGGCCATGAAGCTCGCACACACCGCCTGTCACCCTCCTCAAGTACCACAGCAAAGCCCCAGCTTACTAACCCATGCTAAGCAACTATACGAGAGGAGACAAGTCGTAACAA</t>
  </si>
  <si>
    <t>GCCATCTTCAGCAAACCCTGAAAAAGGAACGAAAGTAAGCACAACTATTGCACATAAAAACTTTAGGTCAAGGTGTAACCTATGGGGTGGGAAGAAATGGGCTACATTTTCTACACCAAGAACACCCTTTACCCACACTAAAGTTTTTATGAAACCTAAAAACTAAAGGAGGATTTAGCAGTAAATTAAGAGTAGAGCGCTTAATTGAATAAGGCCATGAAGCGTGCACACACCGCCCGTCACCCTCCTCAGGTTCCATGACAAAGCCACAATCCACCAACACATGCTAAACAAGTATATGAGAGGAGATAAGTCGTAACAA</t>
  </si>
  <si>
    <t>GCCATCTTCAGCAAACCCTAAAAAAGGAACGAAAGCAAGCACAACTATCGCACATAAAAACGTCAGGTCAAGGCGTAACCTATGGATTGGGAAGAAATGGGCTACATTTTCTATAATAAGAACACCCCTTAAACTCACACGAAAGTTTTTATGAAACCTAAAAACTAAAGGAGGATTTAGCAGTAAATTAAGAATAGAATGCTTAATTGAATAAGGCCATGAAGCACGCACACACCGCCCGTCACCCTCCTCAAGTGCCATAGCAAAGCCCCAGATTGCTAACCCATGCTAAGCAAGCGTACAAGAGGAGACAAGTCGTAACAA</t>
  </si>
  <si>
    <t>GCCATCTTCAGCAAACCCTAAAAAAGGAACGAAAGTAAGCACAACTACTGCACGTAAAAACGTTAGGTCAAGGTGTAACCTATGGATTGGGAAGAAATGGGCTACATTTTCTATAATAAGAACACCCCTTATAACCCACACGAAAGTTTTTATGAAACCCAAAAACTAAAGGAGGATTTAGCAGTAAATTAAGAATAGAATGCTTAATTGAATAAGGCCATGAAGCACGCACACACCGCCCGTCACCCTCCTCAAGTACCGTAGCAAAGCCCCAGATCGCTAACCCATGCTAAGCAAGCGTACAAGAGGAGACAAGTCGTAACAA</t>
  </si>
  <si>
    <t>GCCATCTTCAGCAAACCCTAAAAAAGGAACGAAAGTAAGCACAACTATCGCACATAAAAACGTTAGGTCAAGGTGTAACCTACGGATTGGGAAGAAATGGGCTACATTTTCTATAATAAGAACACCCCTTATAACCCACACGAAAGTTTTTATGAAACCTAAAAACTAAAGGAGGATTTAGCAGTAAATTAAGAATAGAATGCTTAATTGAATAAGGCCATGAAGCACGCACACACTGCCCGTCACCCTCCTCAAGTGCCATAGCAAAGCCCCAGATCGCTAACCCATGCTAAGCAAGCGTAGAAGAGGAGACAAGTCGTAACAA</t>
  </si>
  <si>
    <t>GCCATCTTCAGCAAACAGCAAACCCTAAAAAAGGAACGAAAGCAAGCACAACTATCGCACATAAAAACGTTAGGTCAAGGCGTAACCTATGGATTGGGAAGAAATGGGCTACATTTTCTATAATAAGAACACCCCTTATAACCCACACGAAAGTTTTTATGAAACCTAAAAACTAAAGGAGGATTTAGCAGTAAATTAAGAATAGAATGCTTAATTGAATAAGGCCATGAAGCACGCACACACCGCCCGTCACCCTCCTCAAGTGCCATAGCAAAGCCCCAGATCGCTAACCCATGCTAAGCAAGCGTACAAGAGGAGACAAGTCGTAACAA</t>
  </si>
  <si>
    <t>TCCATCTTCAGCAAACCCTAAAACGAAGCAAAAGTAAGCATAATTATGACACATAAAAACTTTAGGTCAAGGTGTAACCTATGGGGTGGGAAGAAATGGGCTACATTTTCTACACCAAGAACACCCTTTACCCACACTAAAGTTTTTATGAAACCTAAAAACTAAAGGAGGATTTAGCAGTAAATTAAGAGTAGAGCGCTTAATTGAATAAGGCCATGAAGCGTGCACACACCGCCCGTCACCCTCCTCAGGTTCCATGACAAAGCCACAATCCACCAACACATGCTAAACAAGTATATGAGAGGAGATAAGTCGTAACAA</t>
  </si>
  <si>
    <t>TCCATCTTCAGCAAACCCTAAAAAGAAGCAAAAGTAAGCATAATTATGACACATAAAAACTTTAGGTCAAGGTGTAACCTATGGGGTGGGAAGAAATGGGCTACATTTTCTACACCAAGAACACCCTTTACCCACACTAAAGTTTTTATGAAACCTAAAAACTAAAGGAGGATTTAGCAGTAAATTAAGAGTAGAGCGCTTAATTGAATAAGGCCATGAAGCGTGCACACACCGCCCGTCACCTTCCTCAGGTTCCATGACAAAGCCACAATCCACCAACACATGCTAAACAAGTATATGAGAGGAGATAAGTCGTAACAA</t>
  </si>
  <si>
    <t>GCCATCTTCAGCAAACCCTAAAAAGGAATGAAAGTAAGCACAACTATTGCACGTAAAAACGTTAGGTCAAGGTGTAACCTATGGATTGGGAAGAAATGGGCTACATTTTCTATAATAAGAACACCCCTTAAACTCACACGAAAGTTTTTATGAAACCTAAAAACTAAAGGAGGATTTAGCAGTAAATTAAGAATAGAATGCTTAATTGAATAAGGCCATGAAGCACGCACACACCGCCCGTCACCCTCCTCAAGTGCCATAGCAAAGCCCCAGATTGATAACCCATGCTAAGCAAGCGTACAAGAGGAGACAAGTCGTAACAA</t>
  </si>
  <si>
    <t>GCCATCTTCAGCAAACCCTAAAAAAGGAACGAAAGTAAGCACAACTACTGCACATAAAAACGTTAGGTCAAGGTGTAACCTATGGATTGGGAAGAAATGGGCTACATTTTCTATAATAAGAACACCCCTTAAACCCACACGAAAGTTTTTATGAAACCTAAAAACTAAAGGAGGATTTAGCAGTAAATTAAGAATAGAATGCTTAATTGAATAAGGCCATGAAGCATGCACACACCACCCGTCACCCTCCTCAAGTGCCATAGCAAAGCCCCAGATCGCTAACCCATGCTAAGCAAGCGTACAAGAGGAGACAAGTCATAACAA</t>
  </si>
  <si>
    <t>GCCATCTTCAGCAAACCCTAAAAGGGAGCGAAAGTAAGCATAACTACCATACATAAAAACGTTAGGTCAAGGTGTAACCTATGGGATGGGAAGAAATGGGCTACATTTTCTGTATTAAGAACACCCCTTATATCCACACGAAAGTTTTTATGAAATCTAAAAACCAAAGGAGGATTTAGTAGTAAATTAAGAGTAGAGTGCTTAATTGAATAAGGCCATGAAGCACACACACACCGCCCGTCACCCTCCTCAAGTATCATAGCAAAGCCCCAGTTCACTAACCCATGCTAAGCAACTATACGAGAGGAGACAAGTCGTAACAA</t>
  </si>
  <si>
    <t>GCCATCTTCAGCAAACCCTAGAAAAGGAACGAAAGTAAGCACAACTACTACACGTAAAAACGTTAGGTCAAGGTGTAACCTATGGATTGGGAAGAAATGGGCTACATTTTCTATAATAAGAACACCCCTTAAACTCACACGAAAGTTTTTATGAAACCTAAAAACTAAAGGAGGATTTAGCAGTAAATTAAGAATAGAATGCTTAATTGAATAAGGCCATGAAGCACGCACACACCGCCCGTCACCATCCTCAAGTGCCATAGCAAAGCCCCAGATTGCTAACCCATGCTAAGCAAGCGTACAAGAGGAGACAAGTCGTAACAA</t>
  </si>
  <si>
    <t>GCCATCTTCAGCAAACCCTAAAAAAGGAACGAAAGTAAGCACAACTATCGCACATAAAAACGTTAGGTCAAGGTGTAACCTACGGATTGGGAAGAAATGGGCTACATTTTCTATAATAAGAACACCCCTTATAACCCACACGAAAGTTTTTATGAAACCTAAAAACTAAAGGAGGATTTAGCAGTAAATTAAGAATAGAATGCTTAATTGAATAAGGCCATGAAGCACGCACACACTGCCCGTCACCCTCCTCAAGTGCCATAGCAAAGCCCCAGATCGCTAACCCATGCTAAGCAAGCGTACAAGAGGAGACAAGTCGTAACAA</t>
  </si>
  <si>
    <t>GCCATCTTCAGCAAACCCTAAAAAAAGAACGAAAGTAAGCACAACTATTGCACGTAAAAACGTTAGGTCAAGGTGTAACCTATGGATTGGGAAGAAATGGGCTACATTTTCTATGATAAGAACATCCCTTAAACTTACACGAAAGTTTTTATGAAACCTAAAAACTAAAGGATTTAGCAGTAAATTAAGAATAGAATGCTTAATTGAATAAGGCCATGAAGCACGCACAGACCGCCCGTCACCCTCCTCAAGTGCCATAGCAAAGACCCAGATCGCTAACCCATGCTAAGCAAGCGTACAAGAGGAGACAAGTCGTAACAA</t>
  </si>
  <si>
    <t>GCCATCTTCAGCAAACCCTAAAAGGGAGCGAAAGTAAGCATAACTACCATACATAAAAACGTTAGGTCAAGGTGTAACCTATGGGATGGGAAGAAATGGGCTACATTTTCTATACTAAGAACACCCCTTATATCCACACGAAAGTTTTTATGAAATCTAAAAACTAAAGGAGGATTTAGTAGTAAATTAAGAGCAGAGTGCTTAATTGAATAAGGCCATGAAGCACGCACACACCGCCCGTCACCCTCCTCAAGTATCACAGCAAAGCCCCAGCTCACTAACCCATGCTAAGCAACTATACGAGAGGAGACAAGTTGTAACAA</t>
  </si>
  <si>
    <t>GCCATCTTCAGCAAACCCTAAAAAAGGAACGAAAGTAAGCACAACTACCGCACGTAAAAACGTTAGGTCAAGGTGTAACCTATGGATTGGGAAGAAATGGGCTACATTTTCTATAATAAGAACACCCCTTAAACTCACACGAAAGTTTTTATGAAACCTAAAAACTAAAGGAGGATTTAGCAGTAAATTAAGAATAGAATGCTTAATTGAATAAGGCCATGAAGCACGCACACACCGCCCGTCACCCTCCTCAAGTGCCATAGCAAAGCCCCAGATTGATAACCCATGCTAAGCAAGCGTACAAGAGGAGACAAGTCGTAACAA</t>
  </si>
  <si>
    <t>GCCATCTTCAGCAAACCCTAAAAAAGGAATGAAAGTAAGCACAACTATTGTACATAAAAACGTTAGGTCAAGGTGTAACCTATGGATTGGGAAGAAATGGGCTACATTTTCTATAATAAGAACACCACTTAAACTTATACGAAAGTTTTTATGAAACCTAAAAACTAAAGGAGGATTTAGCAGTAAATTAAGAATAGAATGCTTAATTGAATAAGGCCATGAAGCACGCACACACCGCCCGTCACCCTCCTCAAGTACCATAGCAAAGCCCTAGATTGCTAACCCATGCTAAGCAAGCATACAAGAGGAGACAAGTCGTAACAA</t>
  </si>
  <si>
    <t>GCCATCTTCAGCAAACCCTAAAAAAGGAATGAAAGTAAGCACAACTACTGTACGTAAAAACGTTAGGTCAAGGTGTAACCTATGGATTGGGAAGAAATGGGCTACATTTTCTATAATAAGAACACCCCTTAAACTTACACGAAAGTTTTTATGAAATCTAAAAACTAAAGGAGGATTTAGCAGTAAATTAAGAACAGAATGCTTAATTGAATAAGGCCATGAAGCACGCACACACCGCCCGTCACCCTCCTCAAGTACCATAGCATAAGCCCCAGATCACTAACCCACGCTAAGCAAGCGTACAAGAGGAGACAAGTCGTAACAA</t>
  </si>
  <si>
    <t>GCCATCTTCAGCAAACCCTGAAAAAGGAACGAAAGTAAGCACAACTATTGCACATAAAAACGTTAGGTCAAGGTGTAACCTATGGATTGGGAAGAAATGGGCTACATTTTCTATAATAAGAACACCCCTTAAACACACACGAAAGTTTTTATGAAACCTAAAAACTAAAGGAGGATTTAGCAGTAAATTAAGAATAGAATGCTTAATTGAATAAGGCCATGAAGCATGCACACACTGCCCGTCACCCTCCTCAAGTACCATAGAAAAGCCCCAGATCACTAACCCATACTAAGCAAGCGTACACGAGGAGACAAGTGGTAACAA</t>
  </si>
  <si>
    <t>GCCATCTTCAGCAAACCCTAAAAAAGGAATGAAAGTAAGCACAACTATTGCACATAAAAACGTTAGGTCAAGGTGTAACCTATGGATTGGGAAGAAATGGGCTACATTTTCTATAATAAGAACACCCCTTAAACTTACACGAAAGTTTTTATGAAACCTAAAAACTAAAGGAGGATTTAGCAGTAAATTAAGAATAGAATGCTTAATTGAATAAGGCCATGAAGCACGCACACACCGCCCGTCACCCTCCTCAAGTGCCATAGCAAAGCCCCAGATTGATAACCCATGCTAAGCAAGCGTACAAGAGGAGACAAGTCGTAACAA</t>
  </si>
  <si>
    <t>CATCTTCAGCAAACCCTAAAAGGGAACGAAAGTAAGCATAACTACCCTACATAAAAATGTTAGGTCAAGGTGTAACCTATGGGTTGGGAAGAAATGGGCTACATTTTCTATGATAAGAGCACCCCTTATATCCACACGAAAGTTTATATGAAACCTAAAAACTAAAGGAGGATTTAGTAGTAAATTAAGAGTAGAGTGCTTAATTGAATAAGGCCATGAAGCACACACACACCGCCCGTCACCCTCCTCAAGTATCATAGCAAAGCCCCAGTGCACTAACCCATGCTAAGCAACTATACGAGAGGAGACAAGTCGTAACAA</t>
  </si>
  <si>
    <t>ACCATCTTCAGCAAACCCTAAAAAAGGAATGAAAGTAAGCACAACTATTGTACATAAAAACGTTAGGTCAAGGTGTAACCTATGGATTGGGAAGAAATGGGCTACATTTTCTATAATAAGAACACCACTTAAACTTATACGAAAGTTTTTATGAAACCTAAAAACTAAAGGAGGATTTAGCAGTAAATTAAGAATAGAATGCTTAATTGAATAAGGCCATGAAGCACGCACACACCGCCCGTCACCCTCCTCAAGTACCATAGCTAAGCCCTAGATTGCTAACCCATGCTAAGCAAGCATACAAGAGGAGACAAGTCGTAACAA</t>
  </si>
  <si>
    <t>GCCGTCTTCAGCAAACCCTAAAAGCGAGCGAAAGTAAGCATAACTACCATACATAAAAATGTTAGGTCAAGGTGTAACCTATGGGATGGGAAGAAATGGGCTACATTTTCTATACTAAGAACACCCCTCATACCCACACGAAAGTTTTTATGAAATCTAAAAACCAAAGGAGGATTTAGTAGTAATTTAAGAGCAGAGTGCTTAATTGAATAAGGCCATGAAGCACGCACACACCGCCCGTCACCCTCCTCAAGTACCACAGCAGAGCCCCAGCTCACTAACCCATGCTAAGCTACGAGAGGAGACAAGTCATAACAA</t>
  </si>
  <si>
    <t>TCCATCTTCAGCAAACCCTAAAAAGAAGCAAAAGTAAGCATAAGTATGACACATAAAAACTTTAGGTCAAGGTGTAACCTATGGGGTGGGAAGAAATGGGCTACATTTCCTACACCAAGGACACCCTTTATCCACACTAAAGTTTTTATGAAACCTAAAAACTAAAGGAGGATTCAGCAGTAAATTAAGAGTAGAGCGCTTAATTGAATAAGGCCATGAAGCGTGCACACACCGCCCGTCACCCTCCTCAGGTTCCATGACAAAGCCACAATCCACCAACACATGCTAAACAAGTATATGAGAGGAGATAAGTCGTAACAA</t>
  </si>
  <si>
    <t>GCCATCTTCAGCAAACCCTGAAAAAGGAACGAAAGTAAGCACAACTATTGCACATAAAAACGTTAGGTCAAGGTGTAACCTATGGATTGGGAAGAAATGGGCTACATTTTCTATAATAAGAACACCCCTTAAACCCACACGAAAGTTTTTATGAAACCTAAAAACTAAAGGAGGATTTAGCAGTAAATTAAGAATAGAATGCTTAATTGAATAAGGCCATGAAGCATGCACACACCACCCGTCACCCTCCTCAAGTACCATAGAAAAGCCCCAGATCACTAACCCATGCTAAGCAAGCGTACAAGAGGAGACAAGTCGTAACAA</t>
  </si>
  <si>
    <t>GCCATCTTCAGCAAACCCTAAAAAAGGAATGAAAGTAAGCACAACTATTGTACATAAAAACGTTAGGTCAAGGTGTAACCTATGGGTTGGGAAGAAATGGGCTACATTTTCTATAATAAGAACACCACTTAAACTTATACGAAAGTTTTTATGAAACCTAAAAACTAAAGGAGGATTTAGCAGTAAATTAAGAATAGAATGCTTAATTGAATAAGGCCATGAAGCACGCACACACCGCCCGTCACCCTCCTCAAGTACCATAGCTAAGCCCTAGATTGCTAACCCATGCTAAGCAAGCATACAAGAGGAGACAAGTCGTAACAA</t>
  </si>
  <si>
    <t>GCCATCTTCAGCAAACCCTAAAAAGGAATGAAAGTAAGCACAACTATTGCACGTAAAAACGTTAGGTCAAGGTGTAACCTATGGATTGGGAAGAAATGGGCTACATTTTCTATAATAAGAACACCCCTTAAACTTACACGAAAGTTTTTATGAAATCTAAAAACTAAAGGAGGATTTAGCAGTAAATTAAGAACAGAATGCTTAATTGAATAAGGCCATGAAGCACGCACACACCGCCCGTCACCCTCCTCAAGTGCCATAGCAAAGCCCCAGATTGATAACCCATGCTAAGCAAGCGTACAAGAGGAGACAAGTCGTAACAA</t>
  </si>
  <si>
    <t>GCCATCTTCAGCAAACCCTAAAAGGGAGCGAAAGTAAGCATAACTACCATACATAAAAACGTTAGGTCAAGGTGTAACCTATGGGATGGGAAGAAATGGGCTACATTTTCTATATTAAGAACACCCCTTATATCCACACGAAAGTTTTTATGAAATCTAAAAACTAAAGGAGGATTTAGTAGTAAATTAAGAGCAGAGTGCTTAATTGAATAAGGCCATGAAGCACGCACACACCGCCCGTCACCCTCCTCAAGTATCACAGCAAAGCCCCAGCTCACTAACCCATGCTAAGCAACTATACGAGAGGAGACAAGTTGTAACAA</t>
  </si>
  <si>
    <t>GCCATCTTCAGCAAACCCTAAAAGGGAGCGAAAGTAAGCATAACTACCATACATAAAAACGTTAGGTCAAGGTGTAACCTATGGGATGGGAAGAAATGGGCTACATTTTCTATATTAAGAACACCCCTTATATCCACACGAAAGTTTTTATGAAATCTAAAAACCAAAGGAGGATTTAGTAGTAAATTAAGAGCAGAGTGCTTAATTGAATAAGGCCATGAAGCACGCACACACCGCCCGTCACCCTCCTCAAGTATCATAGCAAAGCCCCAGTTCACTAACCCATGCTAAGCAACTATACGAGAGGAGACAAGTCGTAACAA</t>
  </si>
  <si>
    <t>GCCATCTTCAGCAAACCCTAGAAAAGGAACGAAAGTAAGCACAACTACTACACGTAAAAACGTTAGGTCAAGGTGTAACCTATGGATTGGGAAGAAATGGGCTACATTTTCTATAATAAGAACACCCCTTAAACTCACACGAAAGTTTTTATGAAACCTAAAAACTAAAGGAGGATTTAGCAGTAAATTAAGAATAGAATGCTTAATTGAATAAGGCCATGAAGCACGCACACACCGCCCGTCACCCTCCTCAAGTGCCATAGCAAAGCCCCAGATTGATAACCCATGCTAAGCAAGCGTACAAGAGGAGACAAGTCGTAACAA</t>
  </si>
  <si>
    <t>GCCATCTTCAGCAAACCCTAAAAAGGAATGAAAGTAAGCACAACTATTGCACGTAAAAACGTTAGGTCAAGGTGTAACCTATGGATTGGGAAGAAATGGGCTACATTTTCTATAATAAGAACACCCCTTAAACTTACACGAAAGTTTTTATGAAATCTAAAAACTAAAGGAGGATTTAGCAGTAAATTAAGAATAGAATGCTTAATTGAATAAGGCCATGAAGCACGCACACACCGCCCGTCACCCTCCTCAAGTGCCATAGCAAAGCCCCAGATCGCTAACCCATGCTAAGCAAGCGTACAAGAGGAGACAAGTCGTAACAA</t>
  </si>
  <si>
    <t>GCCATCTTCAGCAAACCCTAAAAAAGGAATGAAAGTAAGCACAACTATTGTACATAAAAACGTTAGGTCAAGGTGTAACCTATGGATTGGGAAGAAATGGGCTACATTTTCTATAATAAGAACACCACTTAAACTTATACGAAAGTTTTTATGAAACCTAAAAACTAAAGGAGGATTTAGCAGTAAATTAAGAATAGAATGCTTAATTGAATAAGGCCATGAAGCACGCACACACCGCCCGTCACCCTCCTCAAGTACCATAGCTAAGCCCTAGATTGCTAACCCATGCTAAACAAGCATACAAGAGGAGACAAGTCGTAACAA</t>
  </si>
  <si>
    <t>GCCATCTTCAGCAAACCCTAAAAAAGGAACGAAAGTAAGCACAACTATTGTACATAAAAACGTTAGGTCAAGGTGTAACCTATGGATTGGGAAGAAATGGGCTACATTTTCTATAATAAGAACACCACTTAAACTTATACGAAAGTTTTTATGAAACCTAAAAACTAAAGGAGGATTTAGCAGTAAATTAAGAATAGAATGCTTAATTGAATAAGGCCATGAAGCACGCACACACCGCCCGTCACCCTCCTCAAGTGCCATAGCAAAGCCCTAGATTGCTAACCCACGCTAAGCAAGCGTACAAGAGGAGACAAGTCGTAACAA</t>
  </si>
  <si>
    <t>GCCATCTTCAGCAAACCCTAAAAAGGAATGAAAGTAAGCACAACTATTGCACGTAAAAACGTTAGGTCAAGGTGTAACCTATGGATTGGGAAGAAATGGGCTACATTTTCTATAATAAGAACACCCCTTAAACTTACACGAAAGTTTTTATGAAATCTAAAAACTAAAGGAGGATTTAGCAGTAAATTAAGAATAGAATGCTTAATTGAATAAGGCCATGAAGCACGCACACACCGCCCGTCACCCTCCTCAAGTGCCATAGCAAAGCCCCAGATTGATAACCCATGCTAAGCAAGCGTACAAGAGGAGACAAGTCGTAACAA</t>
  </si>
  <si>
    <t>GCCATCTTCAGCAAACCCTAAAAGGGAGCGAAAGTAAGCATAACTACCATACATAAAAACGTTAGGTCAAGGTGTAACCTATGGGATGGGAAGAAATGGGCTACATTTTCTGTATTAAGAACACCCCTTATATCCACACGAAAGTTTTTATGAAATCTAAAAACCAAAGGAGGATTTAGTAGTAAATTAAGAGTAGAGTGCTTAATTGAATAAGGCCATGAAGCACACACACACCGCCCGTCACCCTCCTCAAATATCATAGCAAAGCCCCAGTTCACTAACCCATGCTAAGCAACTATACGAGAGGAGACAAGTCGTAACAA</t>
  </si>
  <si>
    <t>GCCATCTTCAGCAAACCCTAAAAAAGGAACGAAAGTAAGCACAACTACTGCACGTAAAAACGTTAGGTCAAGGTGTAACCTATGGATTGGGAAGAAATGGGCTACATTTTCTATAATAAGAACACCCCTTAAACTCACACGAAAGTTTTTATGAAACCTAAAAACTAAAGGAGGATTTAGCAGTAAATTAAGAATAGAATGCTTAATTGAATAAGGCCATGAAGCACGCACACACCGCCCGTCACCATCCTCAAGTGCCATAGCAAAGCCCCAGATTGCTAACCCATGCTAAGCAAGCGTACAAGAGGAGACAAGTCGTAACAA</t>
  </si>
  <si>
    <t>GCCATCTTCAGCAAACCCTAAAAAAGGAACGAAAGTAAGCACAACTATCGCACATAAAAACGTTAGGTCAAGGCGTAACCTACGGATTGGGAAGAAATGGGCTACATTTTCTGTAATAAGAACACCCCTTATAACCCACACGAAAGTTTTTATGAAACCTAAAAACTAAAGGAGGATTTAGCAGTAAATTAAGAATAGAATGCTTAATTGAATAAGGCCATGAAGCACGCACACACTGCCCGTCACCCTCCTCAAGTGCCATAGCAAAGCCCCAGATCGCTAACCCATGCTAAGCAAGCGTACAAGAGGAGACAAGTCGTAACAA</t>
  </si>
  <si>
    <t>GCCATCTTCAGCAAACCCTAAAAAAGGAATGAAAGTAAGCACAACTACTGTACGTAAAAACGTTAGGTCAAGGTGTAACCTATGGATTGGGAAGAAATGGGCTACATTTTCTATAATAAGAACACCCCTTAAACTTACACGAAAGTTTTTATGAAATCTAAAAACTAAAGGAGGATTTAGCAGTAAATTAAGAACAGAATGCTTAATTGAATAAGGCCATGAAGCACGCACACACCGCCCGTCACCCTCCTCAAGTGCCATAGCATAAGCCCCAGATCGCTAACCCACGCTAAGCAAGCGTACAAGAGGAGACAAGTCGTAACAA</t>
  </si>
  <si>
    <t>GCCATCTTCAGCAAACCCTAAAAAGGAATGAAAGTAAGCACAACTATTGCACGTAAAAACGTTAGGTCAAGGTGTAACCTATGGATTGGGAAGAAATGGGCTACATTTTCTATAATAAGAACACCCCTTAAACTTACACGAAAGTTTTTATGAAATCTAAAAACTAAAGGAGGATTTAGCAGTAAATTAAGAACAGAATGCTTAATTGAATAAGGCCATGAAGCACGCACACACCGCCCGTCACCCTCCTCAAGTGCCATAGCATAAGCCCCAGATCGCTAACCCACGCTAAGCAAGCGTACAAGAGGAGACAAGTCGTAACAA</t>
  </si>
  <si>
    <t>GCCATCTTCAGCAAACCCTAAAAAAGGAATGAAAGTAAGCACAACTATTGTACATAAAAACGTTAGGTCAAGGTGTAACCTATGGATTGGGAAGAAATGGGCTACATTTTCTATAATAAGAACACCACTTAAACTTATACGAAAGTTTTTATGAAACCTAAAAACTAAAGGAGGATTTAGCAGTAAATTAAGAATAGAATGCTTAATTGAATAAGGCCATGAAGCACGCACACACCGCCCGTCACCCTCCTCAAGTGCCATAGCAAAGCCCTAGATTGCTAACCCACGCTAAGCAAGCGTACAAGAGGAGACAAGTCGTAACAA</t>
  </si>
  <si>
    <t>GCCATCTTCAGCAAACCCTAAAAAAAGAACGAAAGTAAGCACAACTATTGCACGTAAAAACGTTAGGTCAAGGTGTAACCTATGGATTGGGAAGAAATGGGCTACATTTTCTATGATAAGAACATCCCTTAAACTTACACGGAAGTTTTTATGAAACCTAAAAACTAAAGGATTTAGCAGTAAATTAAGAATAGAATGCTTAATTGAATAAGGCCATGAAGCACGCACACACCGCCCGTCACCCTCCTCAAGTGCCATAGCAAAGACCCAGATCGCTAACCCATGCTAAGCAAGCGTACAAGAGGAGACAAGTCGTAACAA</t>
  </si>
  <si>
    <t>GCCATCTTCAGCAAACCCTGAAAAAGGAACGAAAGTAAGCACAACTATTGCACATAAAAACGTTAGGTCAAGGTGTAACCTATGGATTGGGAAGAAATGGGCTACATTTTCTATAATAAGAACACCCCTTAAACTCACACGAAAGTTTTTATGAAACCTAAAAACTAAAGGAGGATTTAGCAGTAAATTAAGAATAGAATGCTTAATTGAATAAGGCCATGAAGCACGCACACACCGCCCGTCACCCTCCTCAAGTGCCATAGCAAAGCCCCAGATTGCTAACCCATGCTAAGCAAGCGTACAAGAGGAGACAAGTCGTAACAA</t>
  </si>
  <si>
    <t>GCCATCTTCAGCAAACCCTAAAAAAAGAACGAAAGTAAGCACAACTATTGCACGTAAAAACGTTAGGTCAAGGTGTAACCTATGGATTGGGAAGAAATGGGCTACATTTTCTATGATAAGAACATCCCTTAAACTTACACGAAAGTTTTTATGAAACCTAAAAACTAAAGGATTTAGCAGTAAATTAAGAATAGAATGCTTAATTGAATAAGGCCATGAAGCACGCACACACCGCCCGTCACCCTCCTCAAGTGCCATAGCAAAGACCCAGATCGCTAACCCATGCTAAGCAAGCGTACAAGAGGAGACAAGTCGTAACAA</t>
  </si>
  <si>
    <t>GCCATCTTCAGCAAACCCTAAAAAAGGAACGAAAGTAAGCACAACTACTGCACGTAAAAACGTTAGGTCAAGGTGTAACCTATGGATTGGGAAGAAATGGGCTACATTTTCTATAATAAGAACACCCCTTAAACTCACACGAAAGTTTTTATGAAACCTAAAAACTAAAGGAGGATTTAGCAGTAAATTAAGAATAGAGTGCTTAATTGAATAAGGCCATGAAGCACGCACACACCGCCCGTCACCCTCCTCAAGTGCCATAGCAAAGCCCCAGATTGCTAACCCATGCTAAGCAAGCGTACAAGAGGAGACAAGTCGTAACAA</t>
  </si>
  <si>
    <t>GCCATCTTCAGCAAACCCTAAAAGGGAGCGAAAGTAAGCATAACTACCATACATAAAAACGTTAGGTCAAGGTGTAACCTATGGGATGGGAAGAAATGGGCTACATTTTCTATATTAAGAACACCCCTTATATCCACACGAAAGTTTTTATGAAATCTAAAAACTAAAGGAGGATTTAGTAGTAAATTAAGAGCAGAGTGCTTAACTGAATAAGGCCATGAAGCACGCACACACCGCCCGTCACCCTCCTCAAGTATCACAGCAAAGCCCCAGCTCACTAACCCATGCTAAGCAACTATACGAGAGGAGACAAGTTGTAACAA</t>
  </si>
  <si>
    <t>GCCATCTTCAGCAAACCCTAAAAAAGGAATGAAAGTAAGCACAACTATTGCACGTAAAAACGTTAGGTCAAGGTGTAACCTATGGATTGGGGAGAAATGGGCTACATTTTCTATAATAAGAACACCCCTTAAACTTACACGAAAGTTTTTATGAAATCTAAAAACTAAAGGAGGATTTAGCAGTAAATTAAGAATAGAATGCTTAATTGAATAAGGCCATGAAGCACGCACACACCGCCCGTCACCCTCCTCAAGTGCCATAGCAAAGCCCCAGATCGCTAACCCATGCTAAGCAAGCGTACAAGAGGAGACAAGTCGTAACAA</t>
  </si>
  <si>
    <t>GCCATCTTCAGCAAACCCTAGAAAAGGAACGAAAGTAAGCACAACTACTACACGTAAAAACGCTAGGTCAAGGTGTAACCTATGGATTGGGAAGAAATGGGCTACATTTTCTATAATAAGAACACCCCTTAAACTCACACGAAAGTTTTTATGAAACCTAAAAACTAAAGGAGGATTTAGCAGTAAATTAAGAATAGAATGCTTAATTGAATAAGGCCATGAAGCACGCACACACCGCCCGTCACCCTCCTCAAGTGCCATAGCAAAGCCCCAGATTGCTAACCCATGCTAAGCAAGCGTACAAGAGGAGACAAGTCGTAACAA</t>
  </si>
  <si>
    <t>GCCATCTTCAGCAAACCCTGAAAAAGGAACGAAAGTAAGCACAACTATTGCACATAAAAACGTTAGGTCAAGGTGTAACCTATGGATTGGGAAGAAATGGGCTACATTTTCTATAATAAGAACACCCCTTAAACCCACACGAAAGTTTTTATGAAACCTAAAAACTAAAGGAGGATTTAGCAGTAAATTAAGAATAGAATGCTTAATTGAATAAGGCCATGAAGCATGCACACACCGCCCGTCACCCTCCTCAAGTACCATAGAAAAGCCCCAGATCACTAACCCATGCTAAGCAAGCGTACAAGAGGAGACAAGTCGTAACAA</t>
  </si>
  <si>
    <t>GCCATCTTCAGCAAACCCTAAAAGGGAGCGAAAGTAAGCATAACTACCATACATAAATATGTTAGGTCAAGGTGTAACCTATGGGATGGGAAGAAATGGGCTACATTTTCTATACTAAGAACACCCCTCATACCCACATGAAAGTTTTTATGAAATTTAAAAACCAAAGGAGGATTTAGTAGTAATTTAAGAGCAGAGTGCTTAATTGAATAAGGCCATGAAGCACGCACACACCGCCCGTCACCCTCCTCAAGTACCACAGCAAAGCCCCAGCTCACTAACCCATGCTAAGCTATGAGAGGAGACAAGTCATAACAA</t>
  </si>
  <si>
    <t>GCCATCTTCAGCAAACCCTAAAAAAGGAACGAAAGTAAGCACAACTATTGTACATAAAAACGTTAGGTCAAGGTGTAACCTATGGATTGGGAAGAAATGGGCTACATTTTCTATAATAAGAACACCACTTAAACTTATACGAAAGTTTTTATGAAACCTAAAAACTAAAGGAGGATTTAGCAGTAAATTAAGAATAGAATGCTTAATTGAATAAGGCCATGAAGCACGCACACACCGCCCGTCACCCTCCTCAAGTACCATAGCTAAGCCCTAGATTGCTAACCCATGCTAAGCAAGCATACAAGAGGAGACAAGTCGTAACAA</t>
  </si>
  <si>
    <t>GCCATCTTCAGCAAACCCTAAAAGGAAACGAAAGTAAGTATAACTACCCTACATAAAAACGTTAGGTCAAGGTGTAACCTATGGGATGGGAAGAAATGGGCTACATTTTCTATACTAAGAACACCCCTCATACTCACACGAAAGTTTTTATGAAATCTAAAAACCAAAGGAGGATTTAGTAGTAAATTAAGAGCAGAGTGCTTAATTGAATAAGGCCATGAAGCTCGCACACACCGCCTGTCACCCTCCTCAAGTACCACAGCAAAGCCCCAGCTTACTAACCCATGCTAAGCAACTATACGAGAGGAGACAAGTCATAACAA</t>
  </si>
  <si>
    <t>GCCATCTTCAGCAAACCCTAAAAAAGGAACGAAAGTAAGCACAACTACTGCACGTAAAAACGTTAGGTCAAGGTGTAACCTATGGATTGGGAAGAAATGGGCTACATTTTCTATAATAAGAACACCCCTTAAACTCACACGAAAGTTTTTATGAAACCTAAAAACTAAAGGAGGATTTAGCAGTAAATTAAGAATAGAATGCTTAATTGAATAAGGCCATGAAGCACGCACACACCGCCCGTCACCCTCCTCAAGTGCCATAGCAAAGCCCCAGATTGATAACCCATGCTAAGCAAGCGTACAAGAGGAGACAAGTCGTAACAA</t>
  </si>
  <si>
    <t>GCCATCTTCAGCAAACCCTAAAAAAGGAACGAAAGTAAGCACAACTATTGCACGTAAAAACGTTAGGTAAAGGTGTAACCTATGGATTGGGAAGAAATGGGCTACATTTTCTATGATAAGAACATCCCTTAAACTTACACGAAAGTTTTTATGAAACCTAAAAACTAAAGGAGGATTTAGCAGTAAATTAAGAATAGAATGCTTAATTGAATAAGGCTATGAAGCACGCACACACCGCCCGTCACCCTCCTCAAGTGCCATAGCAAAGCCCCAGATCGCTAACCCATGCTAAGCAAGCGTACAAGAGGAGACAAGTCGTAACAA</t>
  </si>
  <si>
    <t>GTCATCTTCAGCAAACCCTAAAAGGAAACGAAAGTAAGTATAACTACCCTACATAAAAACGTTAGGTCAAGGTGTAACCTATGGGATGGGAAGAAATGGGCTACATTTTCTATACTAAGAACACCCCTCATACTCACACGAAAGTTTTTATGAAATCTAAAAACCAAAGGAGGATTTAGTAGTAAATTAAGAGCAGAGTGCTTAATTGAATAAGGCCATGAAGCTCGCACACACCGCCTGTCACCCTCCTCAAGTACCACAGCAAAGCCCCAGCTTACTAACCCATGCTAAGCAACTATACGAGAGGAGACAAGTCGTAACAA</t>
  </si>
  <si>
    <t>GCCATCTTCAGCAAACCCTAAAAGCGAGCGAAAGTAAGCATAACTACCATACATAAAAATGTTAGGTCAAGGTGTAACCTATGGGATGGGAAGAAATGGGCTACATTTTCTATACTAAGAACACCCCTCATACCCACACGAAAGTTTTTATGAAATCTAAAAACCAAAGGAGGATTTAGTAGTAATTTAAGAGCAGAGTGCTTAATTGAATAAGGCCATGAAGCACGCACACACCGCCCGTCACCCTCCTCAAGTACCACAGCAGAGCCCCAGCTCACTAACCCATGCTAAGCTACGAGAGGAGACAAGTCATAACAA</t>
  </si>
  <si>
    <t>GCCATCTTCAGCAAACCCTAAAAGGAAACGAAAGTAAGTATAACTACCCTACATAAAAACGTTAGGTCAAGGTGTAACCTATGGGATGGGAAGAAATGGGCTACATTTTCTATACTAAGAACACCCCTCATACTCACACGAAAGTTTTTATGAAATCTAAAAACCAAAGGAGGATTTAGTAGTAAATTAAGAGCAGAGTGCTTAATTGAATAAGGCCATGAAGCTCGCACACACCGCCTGTCACCCTCCTCAAGTACCACAGCAAAGCCCCAGCTTACTAACCCATGCTAAGCAACTATACGAGAGGAGACAAGTCGTAACAA</t>
  </si>
  <si>
    <t>GCCATCTTCAGCAAACCCTAAAAAAGGAACGAAAGCAAGCACAACTATCGCACATAAAAACGTCAGGTCAAGGCGTAACCTATGGATTGGGAAGAAATGGGCTACATTTTCTATAATAAGAACACCCCTTATAACCCACACGAAAGTTTTTATGAAACCCAAAAACTAAAGGAGGATTTAGCAGTAAATTAAGAATAGAATGCTTAATTGAATAAGGCCATGAAGCACGCACACACCGCCCGTCACCCTCCTCAAGTACCGTAGCAAAGCCCCAGATCGCTAACCCATGCTAAGCAAGCGTACAAGAGGAGACAAGTCGTAACAA</t>
  </si>
  <si>
    <t>GCCATCTTCAGCAAACCCTAAAAAAGGAACGAAAGTAAGCACAACTATTGTACATAAAAACGTTAGGTCAAGGTGTAACCTATGGATTGGGAAGAAATGGGCTACATTTTCTATAATAAGAACACCACTTAAACTTATACGAAAGTTTTTATGAAACCTAAAAACTAAAGGAGGATTTAGCAGTAAATTAAGAATAGAATGCTTAATTGAATAAGGCCATGAAGCACGCACACACCGCCCGTCACCCTCCTCAAGTACCATAGCAAAGCCCTAGATTGCTAACCCATGCTAAGCAAGCATACAAGAGGAGACAAGTCGTAACAA</t>
  </si>
  <si>
    <t>GCCATCTTCAGCAAACCCTAAAAAAGGAATGAAAGTAAGCACAACTATTGTACATAAAAACGTTAGGTCAAGGTGTAACCTATGGATTGGGAAGAAATGGGCTACATTTTCTATAATAAGAACACCACTTAAACTTATACGAAAGTTTTTATGAAACCTAAAAACTAAAGGAGGATTTAGCAGTAAATTAAGAATAGAATGCTTAATTGAATAAGGCCATGAAGCACGCACACACCGCCCGTCACCCTCCTCAAGTGCCATAGCAAAGCCCCAGATCGCTAACCCATGCTAAGCAAGCGTACAAGAGGAGACAAGTCGTAACAA</t>
  </si>
  <si>
    <t>GCCATCTTCAGCAAACCCTAAAAAAGGAACGAAAGTAAGCACAACTATTGCACTTAAAAACGTTAGGTAAACCTAACTGTAACCTATGGATTGGGAAGAAATGGGCTACATTTTCTATGATAAGAACATCCCTTAAACTTACACGAAAGTTTTTATGAAACCTAAAAACTAAAGGAGGATTTAGCAGTAAATTAAGAATAGAATGCTTAATTGAATAAGGCCATGAAGCACGCACACACCGCCCGTCACCCTCCTCAAGTGCCATAGCAAAGCCCCAGATCGCTAACCCATGCTAAGCAAGCGTACAAGAGGAGACAAGTCGTAACAA</t>
  </si>
  <si>
    <t>GCCATCTTCAGCAAACCCTAAAAGGGAGCGAAAGTAAGCATAACTACCATACATAAAAACGTTAGGTCAAGGTGTAACCTATGGGATGGGAAGAAATGGGCTACATTTTCTGTATTAAGAACACCCGTTATATCCACACGAAAGTTTTTATGAAATCTAAAAACCAAAGGAGGATTTAGTAGTAAATTAAGAGTAGAGTGCTTAATTGAATAAGGCCATGAAGCACACACACACCGCCCGTCACCCTCCTCAAGTATCATAGCAAAGCCCCAGTTCACTAACCCATGCTAAGCAACTATACGAGAGGAGACAAGTCGTAACAA</t>
  </si>
  <si>
    <t>GCCATCTTCAGCAAACCCTAAAAAAGGAACGAAAGTAAGCACAACTATCGCACATAAAAACGTTAGGTCAAGGTGTAACCTACGGATTGGGAAGAAGTGGGCTACATTTTCTATAATAAGAACACCCCTTATAACCCACACGAAAGTTTTTATGAAACCTAAAAACTAAAGGAGGATTTAGCAGTAAATTAAGAATAGAATGCTTAATTGAATAAGGCCACGAAGCACGCACACACCGCCCGTCACCCTCCTCAAGTGCCATAGCAAAGCCCCAGATCGCTAACCCATGCTAAGCAAGCGTACAAGAGGAGACAAGTCGTAACAA</t>
  </si>
  <si>
    <t>GCCATCTTCAGCAAACCCTAAAAGGGAGCGAAAGTAAGCATAACTACCATACATAAAAATGTTAGGTCAAGGTGTAACCTATGGGATGGGAAGAAATGGGCTACATTTTCTATACTAAGAACACCCCTCATACCCACACGAAAGTTTTTATGAAATCTAAAAACCAAAGTAGGATTTAGTAGTAATTTAAGAGCAGAGTGCTTAATTGAATAAGGCCATGAAGCACGCACACACCGCCCGTCACCCTCCTCAAGTACCACAGCAGAGCCCCAGCTCACTAACCCATGCTAAGCTACGAGAGGAGACAAGTCATAACAA</t>
  </si>
  <si>
    <t>GCCATCTTCAGCAAACCCTGAAAAAGGAACGAAAGTAAGCACAACTATCACACATAAAAACGTTAGGTCAAGGTGTCACCTATGGATTGGGAAGAAATGGGCTACATTTTCTACAGTAAGAACACCCCTTATATCCACACGAAAGTTTTTATGAAACCTAAAAACTAAAGGAGGATTTAGCAGTAAATTAAGAATAGAATGCTTAATTGAATAAGGCCATGAAGCACGCACACACCGCCCGTCACCCTCCTCAAGTACCATAGCAAAGCCCCAGATCACTAACGCATGCTAAGCAAGTATACGAGAGGAGACAAGTCATAACAA</t>
  </si>
  <si>
    <t>GCCATCTTCAGCAAACCCTAAAAGGGAGCGAAAGTAAGCATAACTACCATACATAAAAATGTTAGGTCAAGGTGTAACCTATGGGATGGGAAGAAATGGGCTACATTTTCTATACTAAGAACACCCCTCATACTCACACGAAAGTTTTTATGAAATCTAAAAACCAAAGTAGGATTTAGTAGTAATTTAAGAGCAGAGTGCTTAATTGAATAAGGCCATGAAGCACGCACACACCGCCCGTCACCCTCCTCAAGTACCACAGCAGAGCCCCAGCTCACTAACCCATGCTAAGCTACGAGAGGAGACAAGTCATAACAA</t>
  </si>
  <si>
    <t>GCCATCTTCAGCAAACCCTGAAAAAGGAACGAAAGTAAGCACAACTATTGCACATAAAAACGTTAGGTCAAGGTGTAACCTATGGATTGGGAAGAAATGGGCTACATTTTCTATAATAAGAACACCCCTTAAACCCACACGGAAGTTTTTATGAAACCTAAAAACTAAAGGAGGATTTAGCAGTAAATTAAGAATAGAATGCTTAATTGAATAAGGCCATGAAGCATGCACACACCGCCCGTCACCCTCCTCAAGTACCATAGAAAAGCCCCAGATCACTAACCCATGCTAAGCAAGCGTACAAGAGGAGACAAGTCGTAACAA</t>
  </si>
  <si>
    <t>GCCATCTTCAGCAAACCCTAAAAGGGAGCGAAAGTAAGCATAACTACCATACATAAAAACGTTAGGTCAAGGTGTAACCTATGGGATGGGAAGAAATGGGCTACATTTTCTATATTAAGAACACCCCTTATATCCACACGAAAGTTTTTATGAAATCTAAAAACTAAAGGAGGATTTAGTAGTAAATTAAGAGCAGAGTGCTTAATTGAATAAGGCCATGAAGCACGCACACACCGCCCGTCACCCTCCTCAAGTATCACAGCAAAGCCCCAGCTCACTAACCCATGCTAAGCAACTATACAAGAGGAGACAAGTTGTAACAA</t>
  </si>
  <si>
    <t>GCCATCTTCAGCAAACCCTAAAAAAGGAATGAAAGTAAGCACAACTATTGTACATAAAAACGTTAGGTCAAGGTGTAACCTATGGATTGGGAAGAAATGGGCTACATTTTCTATAATAAGAACACCACTTAAACTTATACGAAAGTTTTTATGAAACCTAAAAACTAAAGGAGGATTTAGCAGTAAATTAAGAATAGAATGCTTAATTGAATAAGGCCATGAAGCACGCACACACCGCCAGTCACCCTCCTCAAGTACCATAGCTAAGCCCTAGATTGCTAACCCATGCTAAGCAAGCATACAAGAGGAGACAAGTCGTAACAA</t>
  </si>
  <si>
    <t>GCCATCTTCAGCAAACCCTGAAAAAGGAACGAAAGTAAGCACAACTATCACACATAAAAACGTTAGGTCAAGGTGTAACCTATGGATTGGGAAGAAATGGGCTACATTTTCTACAGTAAGAACACCCCTTATATCCACACGAAAGTTTTTATGAAACCTAAAAACTAAAGGAGGATTTAGCAGTAAATTAAGAATAGAATGCTTAATTGAATAAGGCCATGAAGCACGCACACACCGCCCGTCACCCTCCTCAAGTACCATAGCAAAGCCCCAGATCACTAACGCATGCTAAGCAAGTATACGAGAGGAGACAAGTCATAACAA</t>
  </si>
  <si>
    <t>GCCATCTTCAGCAAACCCTAAAAAAGGAATGAAAGTAAGCACAACTATTGTACATAAAAACGTTAGGTCAAGGTGTAACCTATGGATTGGGAAGAAATGGGCTACATTTTCTATAATAAGAACACCACTTAAACTTATACGAAAGTTTTTATGAAACCTAAAAACTAAAGGAGGATTTAGCAGTAAATTAAGAATAGAATGCTTAATTGAATAAGGCCATGAAGCACGCACACACCGCCCGTCACCCTCCTCAAGTACCATAGCTAAGCCCCAGATTGCTAACCCATGCTAAGCAAGCATACAAGAGGAGACAAGTCGTAACAA</t>
  </si>
  <si>
    <t>GCCATCTTCAGCAAACCCTAAAAGGGAGCGAAAGTAAGCATAACTACCATACATAAAAACGTTAGGTCAAGGTGTAACCTATGGGATGGGAAGAAATGGGCTACATTTTCTATACTAAGAACACCCCTCATACCCACATGAAAGTTTTTATGAAATTTAAAAACCAAAGGAGGATTTAGTAGTAATTTAAGAGCAGAGTGCTTAATTGAATAAGGCCATGAAGCACGCACACACCGCCCGTCACCCTCCTCAAGTACCACAGCAAAGCCCCAGCTCACTAACCCATGCTAAGCTATGAGAGGAGACAAGTCATAACAA</t>
  </si>
  <si>
    <t>GCCATCTTCAGCAAACCCTAAAAAAGGAATGAAAGTAAGCACAACTATTGCACGTAAAAACGTTAGGTCAAGGTGTAACCTATGGATTGGGAAGAAATGGGCTACATTTTCTACAATAAGAACACCCCTTAAACTTACATGAAAGTTTTTATGAAACCTAAAAACTAAAGGAGGATTTAGCAGTAAATTAAGAATAGAATGCTTAATTGAATAAGGCCATGAAGCACGCACACACCGCCCCGTCACCCTCCTCAAGTGCCATAGCAAAGCCCTAGATCGCTAACCCATGCTAAGCAAGCGTACAAGAGGAGACAAGTCGTAACAA</t>
  </si>
  <si>
    <t>GCCATCTTCAGCAAACCCTAAAAAAGGAACGAAAGTAAGCACAACTATTGCACGTAAAAACGTTAGGTCAAGGTGTAACCTATGGATTGGGAAGAAATGGGCTACATTTTCTATAATAAGAACACCCCTTAAACTTACACGAAAGTTTTTATGAAACCTAAAAACTAAAGGAGGATTTAGCAGTAAATTAAGAATAGAATGCTTAATTGAATAAGGCCATGAAGCACGCACACACCGCCCGTCACCCTCCTCAAGTGCCATAGCAAAGCCCCAGATTGCTAACCCATGCTAAGCAAGCGTACAAGAGGAGACAAGTCGTAACAA</t>
  </si>
  <si>
    <t>TCCATCTTCAGCAAACCCTAAAAAGAAGCAAAAGTAAGCATAATTATGACACATAAAAACTTTAGGTCAAGGTGTAACCTATGGGGTGGGAAGAAATGGGCTACATTTTCTACACCAAGAACACCCTTTACCCACACTAAAGTTTTTATGAAACCTAAAAACTAAAGGAGGATTTAGCAGTAAATTAAGAGTAGAGCGCTTAATTGAATAAGGCCATGAAGCGTGCACACACCGCCCGTCACCCTCCTCAGGTTCCATGACAAAGCCACAATCCACCAACACATGCTAAACAAGTATATGAGAGGAGATAAGTCGTAACAA</t>
  </si>
  <si>
    <t>GCCATCTTCAGCAAACCCTAAAAAAGGAACGAAAGCAAGCACAACTATCGCACATAAAAACGTTAGGTCAAGGCGTAACCTATGGATTGGGAAGAAATGGGCTACATTTTCTATAATAAGAACACCCCTTATAACCCACACGAAAGTTTTTATGAAACCTAAAAACTAAAGGAGGATTTAGCAGTAAATTAAGAATAGAATGCTTAATTGAATAAGGCCATGAAGCACGCACACACCGCCCGTCACCCTCCTCAAGTGCCATAGCAAAGCCCCAGATCGCTAACCCATGCTAAGCAAGCGTACAAGAGGAGACAAGTCGTAACAA</t>
  </si>
  <si>
    <t>GCCATCTTCAGCAAACCCTAAAAAAGGAATGAAAGTAAGCACAACTACTGCACGTAAAAACGTTAGGTCAAGGTGTAACCTATGGATTGGGAAGAAATGGGCTACATTTTCTATAATAAGAACACCCCTTAAACTCACACGAAAGTTTTTATGAAACCTAAAAACTAAAGGAGGATTTAGCAGTAAATTAAGAATAGAATGCTTAATTGAATAAGGCCATGAAGCACGCACACACCGCCCGTCACCCTCCTCAAGTGCCATAGCAAAGCCCCAGATTGCTAACCCATGCTAAGCAAGCGTACAAGAGGAGACAAGTCGTAACAA</t>
  </si>
  <si>
    <t>TCCATCTTCAGCAAACCCTAAAAAGAAGCAAAAGTAAGCATAATTATGACACATAAAAACTTTAGGTCAAGGTGTAACCTATGGGGTGGGAAGAAATGGGCTACATTTTCTACACCAAGAACACCCTTTATCCACACTAAAGTTTTTATGAAACCTAAAAACTAAAGGAGGATTTAGCAGTAAATTAAGAGTAGAGCGCTTAATTGAATAAGGCCATGAAACGTGCACACACCACCCGTCACCCTCCTCAGGTTCCATGACAAAGCCACAATCCACCAACACATGCTAAACAAGTATATGAGAGGAGATAAGTCGTAACAA</t>
  </si>
  <si>
    <t>GCCATCTTCAGCAAACCCTAAAAAAGGAATGAAAGTAAGCACAACTATTGCACATAAAAACGTTAGGTCAAGGTGTAACCTATGGATTGGGAAGAAATGGGCTACATTTTCTATAATAAGAACACCCCTTAAACTTACACGAAAGTTTTTATGAAACCTAAAAACTAAAGGAGGATTTAGCAGTAAATTAAGAATAGAATGCTTAATTGAATAAGGCCATGAAGCACGCACACACCGCCCGTCACCCTCCTCAAGTGCCATAGCAAAGCCCCAGATTGCTAACCCATGCTAAGCAAGCGTACAAGAGGAGACAAGTCGTAACAA</t>
  </si>
  <si>
    <t>GCCATCTTCAGCAAACCCTAAAAAGGAATAAAAGTAAGCATAATTACAGCACATAAAAACGTTAGGTCAAGGTGTAACCTATGGGTTGGGAAGAAATGGGCTACATTTTCTATAACAAGAACACCCCTTAAGCCCACACGAAAGTTTTTATGAAATCTAAAAACTAAAGGAGGATTTAGCAGTAAATTAAGAATAGAATGCTTAATTGAATAAGGCCATGAAGCACGCACACACCGCCCGTCACCCTCCTCAAGTATCACAGCAGAGCCCTAGATCACTAATCCCTGCTAAGCAAGCATACAAGAGGAGACAAGTCGTAACAA</t>
  </si>
  <si>
    <t>GCCATCTTCAGCAAACCCTAAAAAAGGAATGAAAGTAAGCACAACTATTGCACATAAAAACGTTAGGTCAAGGTGTAACCTATGGATTGGGAAGAAATGGGCTACATTTTCTATAATAAGAACACCCCTTAAACTTACACGAAAGTTTTTATGAAACCTAAAAACTAAAGGAGGATTTAGCAGTAAATTAAGAATAGAATGCTTAATTGAATAAGGCCATGAAGCACGCACACACCGCCCGTCACCCTCCTCAAGTGCCATAGCAAAGCCCCAGATCACTAACCCATGCTAAGCAAGCGTACAAGAGGAGACAAGTCGTAACAA</t>
  </si>
  <si>
    <t>GCCATCTTCAGCAAACCCTAAAAAAGGAACGAAAGTAAGCACAACTACCGCACGTAAAAACGTTAGGTCAAGGTGTAACCTATGGATTGGGAAGAAATGGGCTACATTTTCTATAATAAGAACACCCCTTAAACTCACACGAAAGTTTTTATGAAACCTAAAAACTAAAGGAGGATTTAGCAGTAAATTAAGAATAGAATGCTTAATTGAATAAGGCCATGAAGCACGCACACACCGCCCGTCACCCTCCTCAAGTGCCATAGCAAAGCCCCAGATTGCTAACCCATGCTAAGCAAGCGTACAAGAGGAGACAAGTCGTAACAA</t>
  </si>
  <si>
    <t>GCCATCTTCAGCAAACCCTAGAAAAGGAACGAAAGTAAGCACAACTACTACACGTAAAAACGTTAGGTCAAGGTGTAACCTATGGATTGGGAAGAAATGGGCTACATTTTCTATAATAAGAACACCCCTTAAACTCACACGAAAGTTTTTATGAAACCTAAAAACTAAAGGAGGATTTAGCAGTAAATTAAGAATAGAATGCTTAATTGAATAAGGCCATGAAGCACGCACACACCGCCCGTCACCCTCCTCAAGTGCCATAGCAAAGCCCCAGATTGCTAACCCATGCTAAGCAAGCGTACAAGAGGAGACAAGTCGTAACAA</t>
  </si>
  <si>
    <t>GCCATCTTCAGCAAACCCTAAAAAAGGAATGAAAGTAAGCACAACTATTGTACATAAAAACGTTAGGTCAAGGTGTAACCTATGGATTGGGAAGAAATGGGCTACATTTTCTATAATAAGAACACCACTTAAACTTATACGAAAGTTTTTATGAAACCTAAAAACTAAAGGAGGATTTAGCAGTAAATTAAGAATAGAATGCTTAATTGAATAAGGCCATGAAGCACGCACACACCGCCCGTCACCCTCCTCAAGTACCATAGCTAAGCCCTAGATTGCTAACCCATGCTAAGCAAGCATACAAGAGGAGACAAGTCGTAACAA</t>
  </si>
  <si>
    <t>GCCATCTTCAGCAAACCCTAAAAAAGGAACGAAAGTAAGCACAACTACTGCACGTAAAAACGTTAGGTCAAGGTGTAACCTATGGATTGGGAAGAAATGGGCTACATTTTCTATAATAAGAACACCCCTTAAACTCACACGAAAGTTTTTATGAAACCTAAAAACTAAAGGAGGATTTAGCAGTAAATTAAGAATAGAATGCTTAATTGAATAAGGCCATGAAGCACGCACACACCGCCCGTCACCCTCCTCAAGTGCCATAGCAAAGCCCCAGATTGCTAACCCATGCTAAGCAAGCGTACAAGAGGAGACAAGTCGTAACAA</t>
  </si>
  <si>
    <t>GCCATCTTCAGCAAACCCTAAAAAGGAATGAAAGTAAGCACAACTATTGCACGTAAAAACGTTAGGTCAAGGTGTAACCTATGGATTGGGAAGAAATGGGCTACATTTTCTATAATAAGAACACCCCTTAAACTTACACGAAAGTTTTTATGAAATCTAAAAACTAAAGGAGGATTTAGCAGTAAATTAAGAACAGAATGCTTAATTGAATAAGGCCATGAAGCACGCACACACCGCCCGTCACCCTCCTCAAGTACCATAGCATAAGCCCCAGATCACTAACCCACGCTAAGCAAGCGTACAAGAGGAGACAAGTCGTAACAA</t>
  </si>
  <si>
    <t>ASV00233</t>
  </si>
  <si>
    <t>ASV00232</t>
  </si>
  <si>
    <t>ASV00231</t>
  </si>
  <si>
    <t>ASV00230</t>
  </si>
  <si>
    <t>ASV00229</t>
  </si>
  <si>
    <t>ASV00228</t>
  </si>
  <si>
    <t>ASV00227</t>
  </si>
  <si>
    <t>ASV00226</t>
  </si>
  <si>
    <t>ASV00225</t>
  </si>
  <si>
    <t>ASV00224</t>
  </si>
  <si>
    <t>ASV00223</t>
  </si>
  <si>
    <t>ASV00222</t>
  </si>
  <si>
    <t>ASV00221</t>
  </si>
  <si>
    <t>ASV00220</t>
  </si>
  <si>
    <t>ASV00219</t>
  </si>
  <si>
    <t>ASV00218</t>
  </si>
  <si>
    <t>ASV00217</t>
  </si>
  <si>
    <t>ASV00216</t>
  </si>
  <si>
    <t>ASV00215</t>
  </si>
  <si>
    <t>ASV00214</t>
  </si>
  <si>
    <t>ASV00213</t>
  </si>
  <si>
    <t>ASV00212</t>
  </si>
  <si>
    <t>ASV00211</t>
  </si>
  <si>
    <t>ASV00210</t>
  </si>
  <si>
    <t>ASV00209</t>
  </si>
  <si>
    <t>ASV00208</t>
  </si>
  <si>
    <t>ASV00207</t>
  </si>
  <si>
    <t>ASV00206</t>
  </si>
  <si>
    <t>ASV00205</t>
  </si>
  <si>
    <t>ASV00204</t>
  </si>
  <si>
    <t>ASV00203</t>
  </si>
  <si>
    <t>ASV00202</t>
  </si>
  <si>
    <t>ASV00201</t>
  </si>
  <si>
    <t>ASV00200</t>
  </si>
  <si>
    <t>ASV00199</t>
  </si>
  <si>
    <t>ASV00198</t>
  </si>
  <si>
    <t>ASV00197</t>
  </si>
  <si>
    <t>ASV00196</t>
  </si>
  <si>
    <t>ASV00195</t>
  </si>
  <si>
    <t>ASV00194</t>
  </si>
  <si>
    <t>ASV00193</t>
  </si>
  <si>
    <t>ASV00192</t>
  </si>
  <si>
    <t>ASV00191</t>
  </si>
  <si>
    <t>ASV00190</t>
  </si>
  <si>
    <t>ASV00189</t>
  </si>
  <si>
    <t>ASV00188</t>
  </si>
  <si>
    <t>ASV00187</t>
  </si>
  <si>
    <t>ASV00186</t>
  </si>
  <si>
    <t>ASV00185</t>
  </si>
  <si>
    <t>ASV00184</t>
  </si>
  <si>
    <t>ASV00183</t>
  </si>
  <si>
    <t>ASV00182</t>
  </si>
  <si>
    <t>ASV00181</t>
  </si>
  <si>
    <t>ASV00180</t>
  </si>
  <si>
    <t>ASV00179</t>
  </si>
  <si>
    <t>ASV00178</t>
  </si>
  <si>
    <t>ASV00177</t>
  </si>
  <si>
    <t>ASV00176</t>
  </si>
  <si>
    <t>ASV00175</t>
  </si>
  <si>
    <t>ASV00174</t>
  </si>
  <si>
    <t>ASV00173</t>
  </si>
  <si>
    <t>ASV00172</t>
  </si>
  <si>
    <t>ASV00171</t>
  </si>
  <si>
    <t>ASV00170</t>
  </si>
  <si>
    <t>ASV00169</t>
  </si>
  <si>
    <t>ASV00168</t>
  </si>
  <si>
    <t>ASV00167</t>
  </si>
  <si>
    <t>ASV00166</t>
  </si>
  <si>
    <t>ASV00165</t>
  </si>
  <si>
    <t>ASV00164</t>
  </si>
  <si>
    <t>ASV00163</t>
  </si>
  <si>
    <t>ASV00162</t>
  </si>
  <si>
    <t>ASV00161</t>
  </si>
  <si>
    <t>ASV00160</t>
  </si>
  <si>
    <t>ASV00159</t>
  </si>
  <si>
    <t>ASV00158</t>
  </si>
  <si>
    <t>ASV00157</t>
  </si>
  <si>
    <t>ASV00156</t>
  </si>
  <si>
    <t>ASV00155</t>
  </si>
  <si>
    <t>ASV00154</t>
  </si>
  <si>
    <t>ASV00153</t>
  </si>
  <si>
    <t>ASV00152</t>
  </si>
  <si>
    <t>ASV00151</t>
  </si>
  <si>
    <t>ASV00150</t>
  </si>
  <si>
    <t>ASV00149</t>
  </si>
  <si>
    <t>ASV00148</t>
  </si>
  <si>
    <t>ASV00147</t>
  </si>
  <si>
    <t>ASV00146</t>
  </si>
  <si>
    <t>CCGTCTCTTACTTTTAATCAGTGAAACTGACCTCCCCGTGAAGAGGCGGGGATAACACAATAAGACGAGAAGACCCTATGGAGCTTTAATTAATCAACTCAAAAAGCATAAAATAATACCACCAAGGGATAATAGAGCTTTACATGAGCTGACAATTTCGGTTGGGGTGACCTCGGAGTATAAAAAACCCTCCGAGTGATTAAAACTTAGGCCTACTAGCCAAAGTATAGTATCACATATTGATCCAAAATTTTGATCAACGGAACAAGTTACCCTAGGGATAACAGCGCAATCCTATTCTAGAGTCCATATCGACAATAGGGTTTACGA</t>
  </si>
  <si>
    <t>CTGTCTCTTACTCTTAATCAGTGAAATTGACCTCCCCGTGAAGAGGCGGGGATAACACAATAAGACGAGAAGACCCTATGGAGCTTTAATTAATCAACTCAAAAAGCATAAAATAATACCACCAAGGGATAATAGAGCTTTACATGAGCTGACAATTTCGGTTGGGGTGACCTCGGAGTATAAAAAACCCTCCGAGTGATCAAAACTTAGGCCTACTAGACAAAGTATAGTATCACATATTGATCCAAAATTTTGATCAACGGAACAAGTTACCCTAGGGATAACAGCGCAATCCTATTCTAGAGTCCATATCGACAATAGGGTTTACGA</t>
  </si>
  <si>
    <t>CTGTCTCTTACTCTTAATCAGTGAAATTGACCTCCCCGTGAAGAGGCGGGGATAATGCAATAAGACGAGAAGACCCTATGGAGCTTTAATTAATCAACTCAAAAAGCATAAAATAATACCACCAAGGGATAATAGAGCTTTACATGAGCTGACAATTTCGGTTGGGGTGACCTCGGAGTATAAAAAACCCTCCGAGTGATCAAAACTTAGGCCTACTAGACAAAGTATAGTATCACATATTGATCCAAAATTTTGATCAACGGAACAAGTTACCCTAGGGATAACAGCGCAATCCTATTCTAGAGTCCATATCGACAATAGGGTTTACGA</t>
  </si>
  <si>
    <t>CTGTCTCTTACTTTTAATCAGTGAAATTGACCTCCCCGTGAAGAGGCAGGGATAACACAATAAGACGAGAAGACCCTATGGAGCTTTAATTAATCAACTCAAAAAGCATAAAATAATACCACCAAGGGATAATAGAGCTTTACATGAGCTGACAATTTCGGTTGGGGTGACCTCGGAGTATAAAAAACCCTCCGAGTGATCAAAACTTAGGCCTACTAGCAAAAGTATAGTATCACATATTGATCCAAAATTTTGATCAACGGAACAAGTTACCCTAGGGATAACAGCGCAATCCTATTCTAGAGTCCATATCGACAATAGGGTTTACGA</t>
  </si>
  <si>
    <t>CTGTCTCTTACTTCTAATCAGTGAAATTGACCTCCCCGTGAAGAGGCGGGGATAACACAATAAGACGAGAAGACCCTATGGAGCTTTAATTAATCAACCCAAAAAGCACAAAATAATACCACCAAGGGATAACAAAGCTTTAGATGAGCTGACAATTTCGGTTGGGGTGACCTCGGAGTATAAAAAACCCTCCGAGTGATCAAAACTTAGGCCTACTAGCCAAAGTATAGTATCACATATTGATCCAAAATTTTGATCAACGGAACAAGTTACCCTAGGGATAACAGCGCAATCCTATTCTAGAGTCCATATCGACAATAGGGTTTACGA</t>
  </si>
  <si>
    <t>CTGTCTCTTACTCTTAATCAGTGAAATTGACCTCCCCGTGAAGAGGCGGGGATAACACAATAAGACGAGAAGACCCTATGGAGCTTTAATTAATCAACTCAAAAAGCATAAAATAATACCACCAAGGGATAACAAAGCTTTAGATGAGCTGACAATTTCGGTTGGGGTGACCTCGGAGTATAAAAAACCCTCCGAGTGATTAAAACTTAGGCCTACTAGCCAAAGTATAGTATCACTTATTGATCCAAAGTTTTGATCAATGGAAGAAGTTACTCTAGGGATAACAGCGCAATCCTATTCTAGAGTCCATATCGGTAATAGCGTTTACGA</t>
  </si>
  <si>
    <t>CTGTCTCTCACTCCTAATCAGTGAAATTGACCTCCCCGTGAAGAGGCGGGGATAACACAATAAGACGAGAAGGCCCTATGGAGCTTTAATTAATTAAGCAAAAAAAACCTAACTAAACCACCAAGGGATAACAAAATTTTACATGGGGTGACAATTTTGGTTGGGGTGACCTTGGAACACAAAAAAGGCTCTGAGTGATTAAAGTCTAGACTTACCAGTCAAAACATATCATCACTAATTGATCCAAAAAATTGATCAACAAGTTACCCTAGGGATAACAGCGCAATCCTATTCTAGAGTCCATATCGACAATAGGGTTTACGA</t>
  </si>
  <si>
    <t>CTGTCTCTTACTCCTAATCAGTGAAATTGACCTCCCCGTGAAGAGGCGGGGATAATGCAATAAGACGAGAAGACCCTATGGAGCTTTAATTAATCAACTCAAAAAGCATAAAATAATACCACCAAGGGATAACAAAGCTTTAGATGAGCTGACAATTTCGGTTGGGGTGACCTCGGAGTATAAAAAACCCTCCGAGTGATTAAAACTTAGGCCTACTAGCCAAAGTATAGTATCACTTATTGATCCAAAGTTTTGATCAATGGAAGAAGTTACTCTAGGGATAACAGCGCAATCCTATTCTAGAGTCCATATCGGTAATAGCGTTTACGA</t>
  </si>
  <si>
    <t>CTGTCTCTTACTCTTAATCAGTGAAATTGACCTCCCCGTGAAGAGGCGGGGATAATACAATAAGACGAGAAGACCCTATGGAGCTTTAATTAATCAACTCAAAAAGCATAAAATAATACCACCAAGGGATAACAAAGCTTTATATGAGTTGACAATTTCGGTTGGGGTGCCCTCGGAGTATAAAAAGCCCTCCGAGTGATTAAAACTTAGGCCTACCAGCCAAAGTATAATATCACTTATTGATCCAAAATTTTGATCAACGGAACAAGTTACCCTAGGGATAACAGCGCAATCCTATTCTAGAGTCCATATCGACAATAGGGTTTACGA</t>
  </si>
  <si>
    <t>CTGTCTCTTACTCTTAATCAGTGAAATTGACCTCCCCGTGAAGAGGCGGGGATAATACAATAAGACGAGAAGACCCTATGGAGCTTTAATTAATCAACTCAAAAAGCATAAAATAATACCACCAAGGGATAACAAAGCTTTATATGAGTTGACAAGTTCGGTTGGGGTGACCTCGGAGTACAAAAAACCCTCCGAGTGATTAAAACTTAGGCCTACCAGCCAAAGTATAATATCACTTATTGATCCAAAATTTTGATCAACGGAACAAGTTACCCTAGGGATAACAGCGCAATCCTATTCTAGAGTCCATATCGACAATAGGGTTTACGA</t>
  </si>
  <si>
    <t>CTGTCTCTTACTCCTAATCAGTGAAATTGACCTCCCCGTGAAGAGGCGGGGATAATGCAATAAGACGAGAAGACCCTATGGAGCTTTAATTAATCAACTCAAAAAGCATAAAATAATACCACCAAGGGATAATAGAGCTTTACATGAGCTGACAATTTCGGTTGGGGTGACCTCGGAGTATAAAAAACCCTCCGAGTGATCAAAACTTAGGCCTACTAGCCAAAGTATAGTATCACATATTGATCCAAAATTTTGATCAACGGAACAAGTTACCCTAGGGATAACAGCGCAATCCTATTCTAGAGTACATATCGACAATAGGGTTTACGA</t>
  </si>
  <si>
    <t>CTGTCTCTTACTCTTAATCAGTGAAATTGACCTCCCCGTGAAGAGGCGGGGATAATACAATAAGACGAGAAGACCCTATGGAGCTTTAATTAATCAACTCAAAAAGCATAAAATAATACCACCAAGGGATAACAAAGCTTTAGATGAGCTGACAATTTCGGTTGGGGTGACCTCGGAGTATAAAAAACCCTCCGAGTGATTAAAACTTAGGCCTACTAGCCAAAGCATAATATCACTTATTGATCCAAAGTTTTGATCAATGGAAGAAGTTACTCTAGGGATAACAGCGCAATCCTAGTCTAGAGTCAATATCGACAATAGGGTTTACGA</t>
  </si>
  <si>
    <t>CTGTCTCTCACTCCTAATCAGTGAAATTGACCTCCCCGTGAAGAGGCGGGGATAACACAATAAGACGAGAAGACCCTATGGAGCTTTAGACGCCCACCAATCATGAAAAGCAAGTCTCAGTTAACAGACCTCCAAACAACATGATACTGGTATAAACGTCTTCGGTTGGGGCGACCGCGGGAGAGAAAAAAGCTCCCGAGAGGATTGGGGCTACCCTAAAACCAAGAGCTACACCTCTAAGTCACAAAACATTTGACCAAAAATGATCCGGCTATTTGCCGATTAACGAACCAAGTTACCCTAGGGATAACAGCGCAATCCCTTCCCAGAGTCCATATCGACGAAGGGGTTTACGA</t>
  </si>
  <si>
    <t>CTGTCTCTTACTCTTAATCAGTGAAATTGACCTCCCCGTGAAGAGGCGGGGATAACACAATAAGACGAGAAGACCCTATGGAGCTTTAATTAATCAATTCAGAAAGCATAAAATAATACCACCAAGGGATAACAAAGCTTTAGATGAGCTGACAATTTCGGTTGGGGTGACCTCGGAGTATAAAAAACCCTCCGAGTGATCAAAACTTAGGCCTACTAGCCAAAGTATAGTATCACATATTGATCCAAAATTTTGATCAACGGAACAAGTTACCCTAGGGATAACAGCGCAATCCTATTCTAGAGTCCATATCGACAATAGGGTTTACGA</t>
  </si>
  <si>
    <t>CCGTCTCTTACTTTTAATCAGTGAAATTGACCTCCCCGTGAAGAGGCGGGGATAACAAAATAAGACGAGAAGACCCTATGGAGCTTCAATTAATCAACCCCAAAATCACAAACCCAAACCACCAAGGGCTAACAAAGCTTTATATGGGTTGACAATTTCGGTTGGGGTGACCTCGGAGTACAAAAAACCCTCCGAGTGATTAAAGCCTAGGCCTACTAGCCAAAGTATAGTATCACTTATTGATCCAAAATTTTGATCAACGGAACAAGTTACCCTAGGGATAACAGCGCAATCCTATTCTAGAGTCCATATCGACAATAGGGTTTACGA</t>
  </si>
  <si>
    <t>CCGTCTCTTACTTTCAGTCAGTGAAGTTGACCTTACCGTGAAGAGGTGGGAATAACAAAATAAGACGAGAAGGCCCTATGGAGCTTTAATTAATTAAGCAAAAAAAAACCTAACTAAACCACCAAGGGATAACAAAGCTTTAGATGAGCTGACAATTTCGGTTGGGGTGACCTCGGAGTATAAAAAACCCTCCGAGTGATTAAAACTTAGGCCTACCAGCCAAAGTATAGTATCACTTATTGATCCAAAATTTTGATCAACGGAACAAGTTACCCTAGGGATAACAGCGCAATCCTATTCTAGAGTCCATATCGACAATAGGGTTTACGA</t>
  </si>
  <si>
    <t>CTGTCTCTTACTCCTAATCAGTGAAATTGACCTCCCCGTGAAGAGGCGGGGATAACACAATAAGACGAGAAGACCCTATGGAGCTTTAATTAATCAACTCAAAAAGCATAAAATAATACCACCAAGGGATAACAAAGCTTTAGATGAGCTGACAATTTCGGTTGGGGTGACCTCGGAGTATAAAAAACCCTCCGAGTGATTAAAACCTAGGCCTACTAGCCAAAGTATAATATCACTTATTGATCCAAAATTTTGATCAACGGAACAAGTTACCCTAGGGATAACAGCGCAATCCTATTCTAGAGTCCATATCGACAATAGGGTTTACGA</t>
  </si>
  <si>
    <t>CTGTCTCTTACTCTTAATCAGTGAAATTGACCTCCCCGTGAAGAGGCGGGGATAATGCAATAAGACGAGAAGACCCTATGGAGCTTCAATTAATCAACCCCAAAATCACAAACCCAAACCACCAAGGGCTAACAAAGCTTTATATGGGTTGACAATTTCGGTTGGGGTGACCTCGGAGTACAAAAAACCCTCCGAGTGATTAAAGCCTAGGCCTACTAGCCAAAGCATAATATCACTTATTGATCCAAAATTTTGATCAACGGAACAAGTTACCCTAGGGATAACAGCGCAATCCTATTCTAGAGTCCATATCGACAATAGGGTTTACGA</t>
  </si>
  <si>
    <t>CTGTCTCTTACTCTTAATCAGTGAAATTGACCTCCCCGTGAAGAGGCGGGGATAATACAATAAGACGAGAAGACCCTATGGAGCTTTAATTAATCAACTCAAAAAGCATAAAATAATACCACCAAGGGATAACAAAGCTTTATATGAGCTGACAATTTCGGTTGGGGTGACCTCGGAGTATAAAAAACCCTCCGAGTGATTAAAATTTAGGCCTACTAGCCAAAGTATAGTATCACATATTGATCCAAAATCTTGATCAACGGAACAAGTTACCCTAGGGATAACAGCGCAATCCTATTCTAGAGTCCATATCGACAATAGGGTTTACGA</t>
  </si>
  <si>
    <t>CTGTCTCTTACTCCTAATCAGTGAAATTGACCTCCCCGTGAAGAGGCGGGGATAACACAATAAGACGAGAAGACCCTATGGAGCTTTAATTAATCAACTCAAAAAGCATAAAATAATACCACCAAGGGATAACAAAGCTTTAGATGAGCTGACAATTTCGGTTGGGGTGACCTCGGAGTATAAAAAACCCTCCGAGTGATTAAAGCCTAGGCCTACTAGCCAAAGCATAATATCACTTATTGATCCAAAGTTTTGATCAATGGAAGAAGTTACTCTAGGGATAACAGCGCAATCCTATTCTAGAGTCCATATCGGTAATAGCGTTTACGA</t>
  </si>
  <si>
    <t>CTGTCTCTTACTTCCAATCAGTGAAATTAACCTTCCCGTGAAGAGGCGGGAATAAAAAAATAAGACGAGAAGACCCTATGGAGCTTTAATTAACTATTCCAAAAGTTAAACAACTCAACCACAAAGGGATAAAACATAACTTAACATGGACTAGCAATTTCGGTTGGGGTGACCTCGGAGTACAAAAAACCCTCCGAGTGATTTTAATCTAGACAAACCAGTCAAAATAACCATAACATCACTTATTGATCCAAAATTTTGATCAACGGAACAAGTTACCCTAGGGATAACAGCGCAATCCTATTCTAGAGTTCCTATCGACAATAGGGTTTACGA</t>
  </si>
  <si>
    <t>CTGTCTCTTTCTCCTGGTCAGTGAAACTGATCTACCCGTGCAGAAGCGGGTATGAATATACAAGACGAGAAGACCCTATGGAGCTTTAGACGCCCACCAATCATGAAAAGCAAGTCTCAGTTAACAGACCTCCAAACAACATGATACTGGTATAAACGTCTTCGGTTGGGGCGACCGCGGGAGAGAAAAAAGCTCCCGAGAGGATTGGGGCTACCCTAAAACCAAGAGCTACACCTCTAAGTCACAAAACATTTGACCAAAAATGATCCGGCTATTTGCCGATTAACGGACCAAGTTACCCTAGGGATAACAGCGCAATCCCTTCCCAGAGTCCATATCGACGAAGGGGTTTACGA</t>
  </si>
  <si>
    <t>CTGTCTCTTACTTTTAATCAGTGAAATTGACCTCCCCGTGAAGAGGCAGGGATAACACAATAAGACGAGAAGACCCTATGGAGCTTTAATTAATCAACCCAAAAAGCACAAAATAATACCACCAAGGGATAACAAAGCTTTAGATGAGCTGACAATTTCGGTTGGGGTGACCTCGGAGTATAAAAAACCCTCCGAGTGATTAAAACTTAGGCCTACTAGCCAAAGTATAGTATCACATATTGATCCAAAATTTTGATCAACGGAACAAGTTACCCTAGGGATAACAGCGCAATCCTATTCTAGAGTCCATATCGACAATAGGGTTTACGA</t>
  </si>
  <si>
    <t>CTGTCTCTTACTCTTAATCAGTGAAATTGACCTCCCCGTGAAGAGGCGGGGATAATGCAATAAGACGAGAAGACCCTATGGAGCTTTAATTAATCAACTCAAAAAGCATAAAATAATACCACCAAGGGATAACAAAGCTTTAGATGAGCTGACAATTTCGGTTGGGGTGACCTCGGAGTATAAAAAACCCTCCGAGTGATTAAAGCCTAGACCTACTAGCCAAAGCATAGTATTACTTATTGATCCAAAAAATTGATCAATGGAACAAGTTACCCTAGGGTTAACTGCGCAATTCTATTCTAGAGTCCATATCGACAATAGGGTTTACGA</t>
  </si>
  <si>
    <t>CTGTCTCTTACTCTTAATCAGTGAAATTGACCTCCCCGTGAAGAGGCGGGGATAACACAATAAGACGAGAAGACCCTATGGAGCTTTAATTAATCAATTCAGAAAGCATAAAATAATACCACCAAGGGATAACAAAGCTTTAGATGAGCTGACAATTTCGGTTGGGGTGACCTCGGAGTATAAAAAACCCTCCGAGTGATTAAAACTTAGGCCTACCAGCCAAAGTATAGTATCACATATTGATCCAAAATTTTGATCAACGGAACAAGTTACCCTAGGGATAACAGCGCAATCCTATTCTAGAGTCCATATCGACAATAGGGTTTACGA</t>
  </si>
  <si>
    <t>CTGTCTCTTACTCTTAATCAGTGAAATTGACCTCCCCGTGAAGAGGCGGGGATAATGCAATAAGACGAGAAGACCCTATGGAGCTTCAATTAATCAACCCCAAAATCACAAACCCAAACCACCAAGGGCTAACAAAGCTTTATATGGGTTGACAATTTCGGTTGGGGTGACCTCGGAGTACAAAAAACCCTCCGAGTGATCAAAACTTAGGCCTACTAGCCAAAGTATAGTATCACATATTGATCCAAAATTTTGATCAACGGAACAAGTTACCCTAGGGATAACAGCGCAATCCTATTCTAGAGTCCATATCGACAATAGGGTTTACGA</t>
  </si>
  <si>
    <t>CTGTCTCTTACTCTTAATCAGTGAAATTGACCTCCCCGTGAAGAGGCGGGGATAGCACAATAAGACGAGAAGACCCTATGGAGCTTTAATTAATCAACTCAAAAAGCATAAAATAATACCACCAAGGGATAACAAAGCTTTATATGAGCTGACAATTTCGGTTGGGGTGACCTCGGAGTATAAAAAACCCTCCGAGTGATTAAAACTTAGGCCTACCAGCCAAAGTATAGTATCACTTATTGATCCAAAATCTTGATCAATGGAACAAGTTACCCTAGGGATAACAGCGCAATCCTATTCTAGAGTCCATATCGACAATAGGGTTTATGA</t>
  </si>
  <si>
    <t>CTGTCTCTTACTTTTAATCAGTGAAATTGACCTCCCCGTGAAAAGGCGGGGATAACAAAATAAGACGAGAAGACCCTATGGAGCTTCAATTAGTTAATCCAAAAAAACCATGATTAAACCACCAAGGGATAACAAAATTTCACATGGATTGACAATTTTGGTTGGGGTGACCTCAGAGCACAAAAATACCTCTGAATGATTAAACCTTAGATCACTAGTCAAAGCATAGCATCACTTATTTATCCAAAAACTTGATCAACGGAACAAGTTACCCTAGGGATAATAGCACAATCCTATTCTAGAGTCCATATCGACAATAGGGTTTACGA</t>
  </si>
  <si>
    <t>CTGTCTCTTACTCCTAATCAGTGAAATTGACCTCCCCGTGAAGAGGCGGGGATAACACAATAAGACGAGAAGACCCTATGGAGCTTTAATTAATCAACTCAAAAAGCATAAAATAATACCACCAAGGGATAACAAAGCTTTAGATGAGCTGACAATTTCGGTTGGGGTGACCTCGGAGTATAAAAAACCCTCCGAGTGATTAAAACTTAGGCCTACTAGCCAAAGTATAGTATCACTTATTGATCCAAAATTTTGATCAACGGAACAAGTTACCCTAGGGATAACAGCGCAATCCTATTCTAGAGTCCATATCGGTAATAGCGTTTACGA</t>
  </si>
  <si>
    <t>CTGTCTCTTACTTTTAATCAGTGAAATTGACCTCCCCGTGAAGAGGCAGGGATAACACAATAAGACGAGAAGACCCTATGGAGCTTTAATTAATCAACTCAAAAAGCATAAAATAATACCACCAAGGGATAATAGAGCTTTACATGAGCTGACAATTTCGGTTGGGGTGACCTCGGAGTATAAAAAACCCTCCGAGTGATTAAAACTTAGGCCTACTAGCCAAAGTATAGTATCACATATTGATCCAAAATTTTGATCAACGGAACAAGTTACCCTAGGGATAACAGCGCAATCCTATTCTAGAGTCCATATCGACAATAGGGTTTACGA</t>
  </si>
  <si>
    <t>CTGTCTCTTACTCTTAATCAGTGAAATTGACCTCCCCGTGAAGAGGCGGGGATAATGCAATAAGACGAGAAGACCCTATGGAGCTTCAATTAATCAACCCCAAAATCACAAACCCAAACCACCAAGGGCTAACAAAGCTTTATATGGGTTGACAATTTCGGTTGGGGTGACCTCGGAGTACAAAAAACCCTCCGAGTGATTAAAGCCTAGGCCTACTAGCCAAAGTATAGTATCACATATTGATCCAAAATTTTGATCAACGGAACAAGTTACCCTAGGGATAACAGCGCAATCCTATTCTAGAGTCCATATCGACAATAGGGTTTACGA</t>
  </si>
  <si>
    <t>CTGTCTCTTACTCTTAATCAGTGAAATTGACCTCCCCGTGAAGAGGCGGGGATAATGCAATAAGACGAGAAGACCCTATGGAGCTTTAATTAATCAACTCAAAAAGCATAAAATAATACCACCAAGGGATAACAAAGCTTTAGATGAGCTGACAATTTCGGTTGGGGTGACCTCGGAGTATAAAAAACCCTCCGAGTGATTAAAGCCTAGGCCTACTAGCCAAAGCATAATATCACTTATTGATCCAAAGTTTTGATCAATGGAAGAAGTTACTCTAGGGATAACAGCGCAATCCTATTCTAGAGTCCATATCGACAATAGGGTTTACGA</t>
  </si>
  <si>
    <t>CTGTCTCTTACTCTTAATCAGTGAAATTGACCTCCCCGTGAAGAGGCGGGGATAATGCAATAAGACGAGAAGACCCTATGGAGCTTTAATTAATCAACTCAAAAAGCATAAAATAATACCACCAAGGGATAACAAAGCTTTAGATGAGCTGACAATTTCGGTTGGGGTGACCTCGGAGTATAAAAAACCCTCCGAGTGATTAAAACTTAGGCCTACTAGCCAAAGTATAGTATCACTTATTGATCCAAAAAATTGATCAACGGAACAAGGTACCCTAGGGATAACAGCGCAATCCTATTCTAGAGTCCATATCGACAATAGGGTTTATGA</t>
  </si>
  <si>
    <t>CTGTCTCTTACTCTTAATCAGTGAAATTGACCTCCCCGTGAAGAGGCGGGGATAATACAATAAGACGAGAAGACCCTATGGAGCTTTAATTAATCAACTCAAAAAGCATAAAATAATACCACCAAGGGCTAACAAAGCTTTATATGGGTTGACAATTTCGGTTGGGGTGACCTCGGAGTACAAAAAACCCTCCGAGTGATCAAAACTTAGGCCTACTAGCCAAAGTATAGTATCACATATTGATCCAAAATTTTGATCAACGGAACAAGTTACCCTAGGGATAACAGCGCAATCCTATTCTAGAGTCCATATCGACAATAGGGTTTACGA</t>
  </si>
  <si>
    <t>CTGTCTCTTACTCTTAATCAGTGAAATTGACCTCCCCGTGAAGAGGCGGGGATAATGCAATAAGACGAGAAGACCCTATGGAGCTTTAATTAATCAACTCAAAAAGCATAAAATAATACCACCAAGGGATAACAAAGCTTTAGATGAGCTGACAATTTCGGTTGGGGTGACCTCGGAGTATAAAAAACCCTCCGAGTGATTAAAACTTAGGCCTACTAGCCAAAGTATAGTATCACTTATTGATCCAAAGTTTTGATCAATGGAAGAAGTTACTCTAGGGATAACAGCGCAATCCTATTCTAGAGTCCATATCGGTAATAGCGTTTACGA</t>
  </si>
  <si>
    <t>CTGTCTCTTACTCTTAATCAGTGAAATTGACCTCCCCGTGAAGAGGCGGGGATAATACAATAAGACGAGAAGACCCTATGGAGCTTTAATTAATCAACTCAAAAAGCATAAAATAATACCACCAAGGGATAACAAAGCTTTAGATGAGCTGACAATTTCGGTTGGGGTGACCTCGGAGTATAAAAAACCCTCCGAGTGATTAAAGCCTAGACCTACTAGCCAAAGCATAGTATTACTTATTGATCCAAAAAATTGATCAATGGAACAAGTTACCCTAGGGTTAACTGCGCAATTCTATTCTAGAGTCCATATCGACAATAGGGTTTACGA</t>
  </si>
  <si>
    <t>CTGTCTCTTACTCCTAATCAGTGAAATTGACCTCCCCGTGAAGAGGCGGGGATAGCACAATAAGACGAGAAGACCCTATGGAGCTTTAATTAATCAACTCAAAAAGCATAAAATAATACCACCAAGGGATAACAAAGCTTTAGATGAGCTGACAATTTCGGTTGGGGTGACCTCGGAGTATAAAAAACCCTCCGAGTGATTAAAGCCTAGGCCTACTAGCCAAAGCATAGTATCACTTATTGATCCAAAGTTTTGATCAACGGAACAAGTTACCCTAGGGATAACAGCGCAATCCTATTCTAGAGTCCATATCGACAATAGGGTTTACGA</t>
  </si>
  <si>
    <t>CTGTCTCTCACTCCTAATCAGTGAAATTGACCTCCCCGTGAAGAGGCGGGGATAACACAATAAGACGAGAAGACCCTATGGAGCTTTAATTAATCAACTCAAAAAGCATAAAATAATACCACCAAGGGATAACAAAGCTTTATATGAGCTGACAATTTCGGTTGGGGTGACCTCGGAGTATAAAAAACCCTCCGAGTGATTAAAACTTAGGCCTACCAGCCAAAGTATAGTATCACTTATTGATCCAAAATCTTGATCAATGGAACAAGTTACCCTAGGGATAACAGCGCAATCCTATTCTAGAGTCCATATCGACAATAGGGTTTATGA</t>
  </si>
  <si>
    <t>CTGTCTCTTACTTTTAATCAGTGAAATTGACCTTCCCATGAAGAGGCAGGAATAACAAAATAAGAAGACCCTATGGAGCTTTAATTAGTTAATCCAAAAATATATAATTAAACCACCAAGGGATAACAAAATTTCACATGGGTTAACAATTCTGGTTGGGGTGACCTCGGAGAACAAAAAAGCCTCCGAGTGCTTAAAGTCTAGACTTACCAGTCAAAACATAGTAGCCCTTATTGATCCAAAAACTGATCAACGGAACAAGTTACCCTAGAAGTAACAGCACAATCTTATTCCAGAGTTCATATCAACAACAGGGTTTACAA</t>
  </si>
  <si>
    <t>CTGTCTCTTACTTTCAGTCAGTGAAGTTGACCTTACCGTGAAGAGGTGGGAATAACAAACTAAGACGAGAAGGCCCTATGGAGCTTTAATTAATTAAGCAAAAAAAACCTAACTAAACCACCAAGGGATAACAAAGCTTTAGATGAGCTGACAATTTCGGTTGGGGTGACCTCGGAGTATAAAAAACCCTCCGAGTGATTAAAACTTAGGCCTACTAGCCAAAGTATAGTATCACTTATTGATCCAAAATTTTGATCAACGGAACAAGTTACCCTAGGGATAACAGCGCAATCCTATTCTAGAGTCCATATCGACAATAGGGTTTACGA</t>
  </si>
  <si>
    <t>CTGTCTCTTACTCTTAATCAGTGAAATTGACCTCCCCGTGAAGAGGCGGGGATAATGCAATAAGACGAGAAGACCCTATGGAGCTTTAATTAATCAACCCAAAAAGCACAAAATAATACCACCAAGGGATAACAAAGCTTTAGATGAGCTGACAATTTCGGTTGGGGTGACCTCGGAGTATAAAAAACCCTCCGAGTGATCAAAACTTAGGCCTACTAGCCAAAGTATAGTATCACATATTGATCCAAAATTTTGATCAACGGAACAAGTTACCCTAGGGATAACAGCGCAATCCTATTCTAGAGTCCATATCGACAATAGGGTTTACGA</t>
  </si>
  <si>
    <t>CTGTCTCTTACTTTTAATCAGTGAAATTGACCTCCCCGTGAAGAGGCAGGGATAACACAATAAGACGAGAAGACCCTATGGAGCTTTAATTAATCAACCCAAAAAGCACAAAATAATACCACCAAGGGATAATAGAGCTTTACATGAGCTGACAATTTCGGTTGGGGTGACCTCGGAGTATAAAAAACCCTCCGAGTGATTAAAACTTAGGCCTACCAGCCAAAGTATAGTATCACTTATTGATCCAAAATTTTGATCAACGGAACAAGTTACCCTAGGGATAACAGCGCAATCCTATTCTAGAGTCCATATCGACAATAGGGTTTACGA</t>
  </si>
  <si>
    <t>CTGTCTCTCACTCCTAATCAGTGAAATTGACCTCCCCGTGAAGAGGCGGGGATAACACAATAAGACGAGAAGACCCTATGGAGCTTTAATTAATCAACCCAAAAAGCACAAAATAATACCACCAAGGGATAACAAAGCTTTATATGAGTTGACAAGTTCGGTTGGGGTGACCTCGGAGTACAAAAAACCCTCCGAGTGATTAAAACTTAGGCCTACTAGCCAAAGTATAGTATCACATATTGATCCAAAATTTTGATCAACGGAACAAGTTACCCTAGGGATAACAGCGCAATCCTATTCTAGAGTCCATATCGACAATAGGGTTTACGA</t>
  </si>
  <si>
    <t>CTGTCTCTCACTCCTAATCAGTGAAATTGACCTCCCCGTGAAGAGGCGGGGATAACACAATAAGACGAGAAGACCCTATGGAGCTTTAATTAATCAACCCAAAAAGCACAAAATAATACCACCAAGGGATAACAAAGCTTTATATGAGTTGACAAGTTCGGTTGGGGTGACCTCGGAGTACAAAAAACCCTCCGAGTGATTAAAACCTAAGCCTACTAGCCAAAGTATAATATCACTTATTGATCCAAAATTTTGATCAACGGAACAAGTTACCCTAGGGATAACAGCGCAATCCTATTCTAGAGTCCATATCGACAATAGGGTTTACGA</t>
  </si>
  <si>
    <t>CTGCCTCTTACTATTCATCAGTGAAAATGACCTCCCCGTGAAGAGGCGGGGAAAACAAAATAAGACGAGAAGACCCTATGGAGATTCAATTAATCAACCCAAAAACCATAATCTTAAACCACCAAGGAATAACAACATTTCACATGGGTTGACAATTTCGTTGGGGTGACCTTGGAGCACAAAAATCCCTCTGAGTGATAAAATGTAGACCTACTAGGTAAAGCATAATATCACTTACTGATCCAAAAAATTGATCAACGGAACAGGTTACCCCAGGGATCACAGCGCAATCCTATTCTAGAGTCCATATCGACAACAGCGTTTAGGA</t>
  </si>
  <si>
    <t>CTGTCTCTTACTCCTAATCAGTGAAATTGACCTCCCCGTGAAGAGGCGGGGATAACACAATAAGACGAGAAGACCCTATGGAGCTTTAATTAATCAACTCAAAAAGCATAAAATAATACCACCAAGGGATAACAAAGCTTTAGATGAGCTGACAATTTCGGTTGGGGTGACCTCGGAGTATAAAAAACCCTCCGAGTGATTAAAACTTAGGCCTACTAGCCAAAGTATAGTATCACTTATTGATCCAAAGTTTTGATCAATGGAAGAAGTTACTCTAGGGATAACAGCGCAATCCTATTCTAGAGTCCATATCGGTAATAGCGTTTACGA</t>
  </si>
  <si>
    <t>CTGTCTCTTACTCTTAATCAGTGAAATTGACCTCCCCGTGAAGAGGCGGGGATAATACAATAAGACGAGAAGACCCTATGGAGCTTCAATTAGTTAATCCCAAAAAAACATGATTAAACCACCAAGGGATAACAAAATTTCACATGGATTGACAATTTTGGTTGGGGTGACCTCAGAGCACAAAAATACCTCTGAATGATTAAACCTTAGATCACTAGTCAAAGCATAGCATCACTTATTTATCCAAAAACTTGATCAACGGAACAAGTTACCCTAGGGATAATAGCACAATCCTATTCTAGAGTCCATATCGACAATAGGGTTTACGA</t>
  </si>
  <si>
    <t>CTGTCTCTTACTTTTAATCAGTGAAATTGACCTCCCCGTGAAGAGGCAGGGATAACACAATAAGACGAGAAGACCCTATGGAGCTTTAATTAATCAACCCAAAAAGCACAAAATAATACCACCAAGGGATAACAAAGCTTTAGATGAGCTGACAATTTCGGTTGGGGTGACCTCGGAGTATAAAAAACCCTCCGAGTGATTAAAACTTAGGCCTACTAGCCAAAGTATAGTATCACT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</si>
  <si>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ACCTAGGCCTACTGGCCAAAGTATAATATCACTTATTGATCCAAAATTTTGATCAACGGAACAAGTTACCCTAGGGATAACAGCACAATCCTATTCTAGATTCCATATCGACAATAGGGTTTACGA</t>
  </si>
  <si>
    <t>CTGTCTCTTACTTCTAATCAGTGAAATTGACCTCCCCGTGAAGAGGCGGGGATAACACAATAAGACGAGAAGACCCTATGGAGCTTTAATTAATCAACCCAAAAAGCACAAAATAATACCACCAAGGGATAACAAAGCTTTATATGAGTTGACAATTTCAGTTGGGGTGACCTCAGAGTACAAAAAACCCTCCGAGTGATTAAAACTTAGGCCTACTAGCCAAAGTATAGTATCACTTATTGATCCAAAATTTTGATCAACGGAACAAGTTACCCTAGGGATAACAGCGCAATCCTATTCTAGAGTCCATATCGACAATAGGGTTTACGA</t>
  </si>
  <si>
    <t>CTGTCTCTTACTTTTAATCAGTGAAATTGACCTCCCCGTGAAGAGGCGGGGATAACACAATAAGACGAGAAGACCCTATGGAGCTTTAATTAATCAACCCAAAAAGCACAAAATAATACCACCAAGGGATAACAAAGCTTTATATGAGTTGACAAGTTCGGTTGGGGTGACCTCGGAGTACAAAAAACCCTCCGAGTGATTAAAACCTAAGCCTACTAGCCAAAGTATAATATCACTTATTGATCCAAAATTTTGATCAACGGAACAAGTTACCCTAGGGATAACAGCGCAATCCTATTCTAGAGTCCATATCGACAATAGGGTTTACGA</t>
  </si>
  <si>
    <t>CTGTCTCTTACTTTTAATCAGTGAAATTGACCTTCCCATGAAGAGGCAGGAATAACAAAATAAGAAGACCCTATGGAGCTTTAATTAGTTAATCCAAAAATATATAATTAAACCAGCAAGGGATAACAAAATTTCACATGGGTTAACAATTTTGGTTGGGGTGACCTCGGAGAACAAAAAAGCCTCCAAGTGATTAAAATCTAGACTTACCAGTCAGAACATAGTATCCCTTATTGATCCAAAAACTGATCAACGGAACAAGTTACCCTAGAAATAACAGCACAATCTTATTCCAGAGTTCATATCAACAACAGGGTTTACAA</t>
  </si>
  <si>
    <t>CTGTCTCTTACTCTTAATCAGTGAAATTGACCTCCCCGTGAAGAGGCGGGGATAATGCAATAAGACGAGAAGACCCTATGGAGCTTCAATTAATCAACCCCAAAATCACAAACCCAAACCACCAAGGGCTAACAAAGCTTTATATGGGTTGACAATTTCGGTTGGGGTGACCTCGGAGTACAAAAAACCCTCCGAGTGATTAAAGCCTAGGCCTACTAGCCAAAGTATAGTATCACTTATTGATCCAAAATTTTGATCAACGGAACAAGTTACCCTAGGGATAACAGCGCAATCCTATTCTAGAGTCCATATCGACAATAGGGTTTACGA</t>
  </si>
  <si>
    <t>CTGTCTCTTACTTTTAATCAGTGAAATTGACCTCCCCATGAAAAGGGGGGGATAACAAAATAAGATGAGAAGACCTTATGGAGCTTCAATTAATGAACCTCAAAACTATAATCTTGAACTGCCAAGGAACAACAAAATTTCACATGGGTTGACAATTTCGGTTGGGATGACCTCGGAGCACAAAAAACCCTCCAAGTGATTAAAGCCTAGACCTACTAGCCAAAGCATAGTATTACATATTGATCCAAAAAATTGATCAATGGAACAAGTTACCCTAGGGTTAACTGCGCAATCCTATTCTAGAGTCCATATCGACAATAGGGTTTACGA</t>
  </si>
  <si>
    <t>CTGTCTCTTACTTTTAATCAGTGAAATTGACCTTCCCATGAAGAGGCAGGAATAACAAAATAAGAAGACCCTATGGAGCTTTAATTAATCAACTCAAAAAGCATAAAATAATACCACCAAGGGATAACAGAGCTTTACATGAGCTGACAATTTCGGTTGGGGTGACCTCGGAGTATAGAAAACCCTCCGAGTGATTAAAACTTAGGCCTACCAGCCAAAGTATAATATCACTTATTGATCCAAAATTTTGATCAACGGAACAAGTTACCCTAGGGATAACAGCGCAATCCTATTCTAGAGTCCATATCGACAATAGGGTTTACGA</t>
  </si>
  <si>
    <t>CTGCCTCTTACTATTCATCAGTGAAAATGACCTCCCCTTGAAGAGGTGGGGAAAACAAAATAAGACGAGAAGACCCTATGGAGATTCAATTAATCAACCCAAAAACCATAATCTTAAACCACCAAGGAATAACAACATTTCACATGGGTTGATAATTTCGTTGGGGTGACCTTGGAGCACAAAAATCCCTCTGAGTGATTAAAACCTAGACCTACTAGCTAAAGCATAATATCACTTACTGATCCAAAAAATTGATCAACGGAACAGGTTACCCCAGGGATCACAGTGCAATCCTATTCTAGAGTCCATATCGACAATAGGGTTTACGA</t>
  </si>
  <si>
    <t>CTGTCTCTTACTCCTAATCAGTGAAATTGACCTCCCCGTGAAGAGGCGGGGATAATACAATAAGACGAGAAGATCCTATGGAGCTTCAATTAATCAACCCCAAAATCACAAACCCAAACCACCAAGGGATAACAAAGCTTTATATGAGCTGACAATTTCGGTTGGGGTGACCTCGGAGTATAAAAAACCCTCCGAGTGATTAAAACTTAGGCCTACTAGCCAAAGTATAGTATCACTTATTGATCCAAAATTTTGATCAACGGAACAAGTTACCCTAGGGATAACAGCGCAATCCTATTCTAGAGTCCATATCGACAATAGGGTTTACGA</t>
  </si>
  <si>
    <t>CTGTCTCTTACTCTTAATCAGTGAAATTGACCTCCCCGTGAAGAGGCGGGGATAACACAATAAGACGAGAAGACCCTATGGAGCTTTAATTAATCAATTCAGAAAGCATAAAATAATACCACCAAGGGATAACAAAGCTTTAGATGAGCTGACAATTTCGGTTGGGGTGACCTCGGAGTATAAAAAACCCTCCGAGTGATTAAAACTTAGGCCTACCAGCCAAAGTATAGTATCACTTATTGATCCAAAATTTTGATCAACGGAACAAGTTACCCTAGGGATAACAGCGCAATCCTATTCTAGAGTCCATATCGACAATAGGGTTTACGA</t>
  </si>
  <si>
    <t>CCGTCTCTTACTTTTAATCAGTGAAACTGACCTCCCCGTGAAGAGGCGGGGATAACACAATAAGACGAGAAGACCCTATGGAGCTTTAATTAATCAACTCAAAAAGCATAAAATAATACCACCAAGGGATAACAAAGCTTTAGATGAGCTGACAATTTCGGTTGGGGTGACCTCGGAGTATAAAAAACCCTCCGAGTGATTAAAACTTAGGCCTACTAGCCAAAGTATAGTATCACTTATTGATCCAAAATTTTGATCAACGGAACAAGTTACCCTAGGGATAACAGCGCAATCCTATTCTAGAGTCCATATCGACAATAGGGTTTACGA</t>
  </si>
  <si>
    <t>CTGTCTCTTACTCTTAATCAGTGAAATTGACCTCCCCGTGAAGAGGCGGGGATAATACAATAAGACGAGAAGACCCTATGGAGCTTTAATTAATCAACCCAAAAAGCACAAAATAATACCACCAAGGGATAACAAAGCTTTATATGAATTGACAATTTCGGTTGGGGTGACCTCAGAGTATAAAAAACCCTCCGAGTGATTAAAACTTAGGCCTACTAGCCAAAGTATAGTATCACTTATTGATCCAAAATTTTGATCAACGGAACAAGTTACCCTAGGGATAACAGCGCAATCCTATTCTAGAGTCCATATCGACAATAGGGTTTACGA</t>
  </si>
  <si>
    <t>CCGTCTCTTACTTTTAATCAGTGACATTGACCTCCCCGTGAAGAGGCGGGGATAACAAAATAAGACGAGAAGATCCTATGGAGCTTCAATTAATCAACCCCAAAATCACAAACCCAAACCACCAAGGGCTAACAAAGCTTTATATGGGTTGACAATTTCGGTTGGGGTGACCTCGGAGTACAAAAAACCCTCCGAGTGATTAAAGCCTAGGCCTACTAGCCAAAGCATAGTATCACTTATTGATCCAAAGTTTTGATCAACGGAACAAGTTACCCTAGGGATAACAGCGCAATCCTATTCTAGAGTCCATATCGACAATAGGGTTTACGA</t>
  </si>
  <si>
    <t>CTGCCTCTTACTTTTAATCAGTGAAATTGACCTCCCCGTGAAGAGGCGGGGATAACAAAATAAGACGAGAAGACCCTACGGAGCTTCAATTAATCAACCCCAAAACCATAATCTTAAACCACCAAGGAATAACAAAATTTCACAGGGGTTGACAATTTCGGTGACCTCCGAGCACAAAAAACCCTCCGAGTGATTAAAGCCTAGACCTACTAGCCAAAGTATAATATCACTTATTGATCCAAAAAACTGATCAATGGAACAAGGTACCCTAGGGATAACAGCGCAATCCTATTCTAGAGTCCATATCGACAATAGGGTTTACGA</t>
  </si>
  <si>
    <t>CTGTCTCTTACTCTTAATCAGTGAAATTGACCTCCCCGTGAAGAGGCGGGGATAATACAATAAGACGAGAAGACCCTATGGAGCTTTAATTAATCAACCCAAAAAGCACAAAATAATACCACCAAGGGATAACAAAGCTTTAGATGAGCTGACAATTTCGGTTGGGGTGACCTCGGAGTATAAAAAACCCTCCGAGTGATTAAAACTTAGGCCTACTAGCCAAAGTATAGTATCACATATTGATCCAAAATTTTGATCAACGGAACAAGTTACCCTAGGGATAACAGCGCAATCCTATTCTAGAGTCCATATCGACAATAGGGTTTACGA</t>
  </si>
  <si>
    <t>CTGTCTCTTACTCTTAATCAGTGAAATTGACCTCCCCGTGAAGAGGCGGGGATAATGCAATAAGACGAGAAGACCCTATGGAGCTTTAATTAATCAACTCAAAAAGCATAAAATAATACCACCAAGGGATAACAAAGCTTTATATGAGTTGACAAGTTCGGTTGGGGTGACCTCGGAGTACAAAAAACCGTCCGAGTGATTAAAAGCTAGGCCTACTAGCCAAAGTATAATATCACTTATTGATCCAAAATTTTGATCAACGGAACAAGTTACCCTAGGGATAACAGCGCAATCCTATTCTAGAGTCCATATCGACAATAGGGTTTACGA</t>
  </si>
  <si>
    <t>CTGTCTCTTACTCTTAATCAGTGAAATTGACCTCCCCGTGAAGAGGCGGGGATAATACAATAAGACGAGAAGACCCTATGGAGCTTTAATTAATCAACTCAAAAAGCATAAAATAATACCACCAAGGGATAACAAAGCTTTATATGAATTGACAATTTCGGTTGGGGTGACCTCAGAGTATAAAAAACCCTCCGAGTGATTAAAACCTAGGCCTACTAGCCAAAGTATAATATCACTTATTGATCCAAAATTTTGATCAACGGAACAAGTTACCCTAGGGATAACAGCGCAATCCTATTCTAGAGTCCATATCGACAATAGGGTTTACGC</t>
  </si>
  <si>
    <t>CTGTCTCTCACTCCTAATCAGTGAAATTGACCTCCCCGTGAAGAGGCGGGGATAACACAATAAGACGAGAAGACCCTATGGAGCTTTAATTAATCAACTCAAAAAGCATAAAATAATACCACCAAGGGATAACAGAGCTTTACATGAGCTGACAATTTCGGTTGGGGTGACCTCGGAGTACAAAAAAACCTCCAAGTGATTAAAGCCTGGGCCTACTAGCCAAAGCATAGTATCACTTATTGATCCAAAATTTTGATCAACGGAACAAGTTACCCTAGGGATAACAGCGCAATCCTATTCTAGAGTCCATATCGACAATAGGGTTTACGA</t>
  </si>
  <si>
    <t>CTGTCTCTTACTCCTAATCAGTGAAATTGACCTCCCCGTGAAGAGGCGGGGATAGCACAATAAGACGAGAAGACCCTATGGAGCTTTAATTAATCAACTCAAAAAGCATAAAATAATACCACCAAGGGATAACAAAGCTTTATATGAATTGACAATTTCGGTTGGGGTGACCTCAGAGTATAAAAAACCCTCCGAGTGATTAAAACTTAGGCCTACTAGCCAAAGTATAGTATCACTTATTGATCCAAAATTTTGATCAACGGAACAAGTTACCCTAGGGATAACAGCGCAATCCTATTCTAGAGTCCATATCGACAATAGGGTTTACGA</t>
  </si>
  <si>
    <t>CTGTCTCTTACTCTTAATCAGTGAAATTGACCTCCCCGTGAAGAGGCGGGGATAATGAAATAAGACGAGAAGACCCTATGGAGCTTTAATTAATCAACTCAAAAAGCATAAAATAATACCACCAAGGGATAACAAAGCTTTAGATGAGCTGACAATTTCGGTTGGGGTGACCTCGGAGTATAAAAAACCCTCCGAGTGATTAAAACTTAGGCCTACTAGCCAAAGTATAGTATCACTTATTGATCCAAAATTTTGATCAACGGAACAAGTTACCCTAGGGATAACAGCGCAATCCTATTCTAGAGTCCATATCGACAATAGGGTTTACGA</t>
  </si>
  <si>
    <t>CTGTCTCTTACTCCTAATCAGTGAAATTGACCTCCCCGTGAAGAGGCGGGGATAGCACAATAAGACGAGAAGACCCTATGGAGCTTTAATTAATCAACTCAAAAAGCATAAAATAATACCACCAAGGGATAACAAAGCTTTATATGAGTTGACAAGTTCGGTTGGGGTGACCTCGGAGTACAAAAAACCCTCCAAGTGATTAAAACCTAGGCCTACTAGCCAAAGTATAGTATCACTTATTGATCCAAAATTTTGATCAACGGAACAAGTTACCCTAGGGATAACAGCGCAATCCTATTCTAGAGTCCATATCGACAATAGGGTTTACGA</t>
  </si>
  <si>
    <t>CTGTCTCTTACTCTTAATCAGTGAAATTGACCTCCCCGTGAAGAGGCGGGGATAATACAATAAGACGAGAAGACCCTATGGAGCTTTAATTAATCAACCCAAAAAGCACAAAATAATACCACCAAGGGATAACAAAGCTTTATATGAGTTGACAAGTTCGGTTGGGGTGACCTCGGAGTACAAAAAACCCTCCAAGTGATTAAAACCTAGGCCTACTAGCCAAAGTATAATATCACTTATTGATCCAAAATTTTGATCAACAGAACAAGTTACCCTAGGGATAACAGCACAATCCTATTCTAGAGTCCATATCGACAATAGGGTTTACGA</t>
  </si>
  <si>
    <t>CTGTCTCTTACTTTTAATCAGTGAAATTGACCTCCCCGTGAAGAGGCAGGGATAACACAATAAGACGAGAAGACCCTATGGAGCTTTAATTAATCAACCCAAAAAGCACAAAATAATACCACCAAGGGATAACAAAGCTTTAGATGAGCTGACAATTTCGGTTGGGGTGACCTCGGAGTATAAAAAACCCTCCGAGTGATTAAAACTTAGGCCTACCAGCCAAAGTATAGTATCACTTATTGATCCAAAATTTTGATCAACGGAACAAGTTACCCTAGGGATAACAGCGCAATCCTATTCTAGAGTCCATATCGACAATAGGGTTTACGA</t>
  </si>
  <si>
    <t>CTGTCTCTTACTCTTAATCAGTGAAATTGACCTCCCCGTGAAGAGGCGGGGATAATACAATAAGACGAGAAGACCCTATGGAGCTTTAATTAATCAACTCAAAAAGCATAAAATAATACCACCAAGGGATAACAAAGCTTTATATGAGTTGACAAGTTCGGTTGGGGTGACCTCGGAGTACAAAAAACCCTCCGAGTGATTAAAACCTAGGCCTACTAGCCAAAGTATAATATCACTTATTGATCCAAAATTTTGATCAACGGAACAAGTTACCCTAGGGATAACAGCGCAATCCTATTCTAGAGTCCATATCGACAATAGGGTTTACGA</t>
  </si>
  <si>
    <t>CTGTCTCTTACTCTTAATCAGTGAAATTGACCTCCCCGTGAAGAGGCGGGGATAATACAATAAGACGAGAAGACCCTATGGAGCTTTAATTAATCAACTCAAAAAGCATAAAATAATACCACCAAGGGATAACAAAGCTTTATATGAGTTGACAAGTTCGGTTGGGGTGACCTCGGAGTACAAAAAACCCTCCGAGTGATTAAAACTTAGGCCTACTAGCCAAAGTATAGTATCACATATTGATCCAAAATTTTGATCAACGGAACAAGTTACCCTAGGGATAACAGCGCAATCCTATTCTAGAGTCCATATCGACAATAGGGTTTACGA</t>
  </si>
  <si>
    <t>CTGTCTCTTACTCTTAATCAGTGAAATTGACCTCCCCGTGAAGAGGCGGGGATAATGCAATAAGACGAGAAGACCCTATGGAGCTTTAATTAATCAACTCAAAAAGCATAAAATAATACCACCAAGGGATAACAAAGCTTTAGATGAGCTGACAATTTCGGTTGGGGTGACCTCGGAGTATAAAAAACCCTCCGAGTGATTAAAACTTAGGCCTACTAGCCAAAGCATAATATCACTTATTGATCCAAAGTTTTGATCAATGGAAGAAGTTACTCTAGGGATAACAGCGCAATCCTAGTCTAGAGTCAATATCGACAATAGGGTTTACGA</t>
  </si>
  <si>
    <t>CTGTCTCTTACTCTTAATCAGTGAAACTGACCTCCCCGTGAAGAGGCGGGGATAACACAATAAGACGAGAGGACCCTATGGAGCTTTAATTAATCAACCCAAAAAGCACAAAATAATACCACCAAGGGATAACAAAGCTTTATATGAATTGACAATTTCGGTTGGGGTGACCTCAGAGTATAAAAAACCCTCCGAGTGATTAAAACCTAGGCCTACTAGCCAAAGTATAATATCACTTATTGATCCAAAATTTTGATCAACGGAACAAGTTACCCTAGGGATAACAGCGCAATCCTATTCTAGAGTCCATATCGACAATAGGGTTTACGA</t>
  </si>
  <si>
    <t>CTGTCTCTTACTCCTAATCAGTGAAATTGACCTCCCCGTGAAGAGGCGGGGATAACACAATAAGACGAGAAGACCCTATGGAGCTTTAATTAATCAACCCAAAAAGCACAAAATAATACCACCAAGGGATAACAAAGCTTTATATGAGTTGACAAGTTCGGTTGGGGTGACCTCGGAGTACAAAAAACCGTCCGAGTGATTAAAAGCTAGGCCTACTAGCCAAAGTATAATATCACTTATTGATCCAAAATTTTGATCAACGGAACAAGTTACCCTAGGGATAACAGCGCAATCCTATTCTAGAGTCCATATCGACAATAGGGTTTACGA</t>
  </si>
  <si>
    <t>CTGTCTCTCACTCCTAATCAGTGAAATTGACCTCTCCGTGAAGAGGCGGGGATAACAAAATAAGACGAGAAGACCCTATGGAGATTCACGGGATAACAAAGCTTTATATGGGTTGACAGTTTCGGTTTAGGTGACCTCAGAGTACAAAAAAACCTCCGAGTGATTAAAGCCTAAGCCTACTAACCAAAGCATAGTATCACTTATTGATCCAAAATTTTGATCAACGGAACGTTACGCTAGGGATAACAGCGCAGTCCTATTCTAAAGTCCATATTGACAATAGGGTTTATGA</t>
  </si>
  <si>
    <t>CTGTCTCTTACTCTTAATCAGTGAAATTGACCTCCCCGTGAAGAGGCGGGGATAATACAATAAGACGAGAAGACCCTATGGAGCTTTAATTAATCAACCCAAAAAGCACAAAATAATACCACCAAGGGATAACAAAGCTTTATATGAATTGACAATTTCGGTTGGGGTGACCTCAGAGTATAAAAAACCCTCCGAGTGATTAAAACCTAGGCCTACTAGCCAAAGTATAGTATCACTTATTGATCCAAAATTTTGATCAACGGAACAAGTTACCCTAGGGATAACAGCGCAATCCTATTCTAGAGTCCATATCGACAATAGGGTTTACGA</t>
  </si>
  <si>
    <t>CTGTCTCTTACTCCTAATCAGTGAAATTGACCTCCCCGTGAAGAGGCGGGGATAACACAATAAGACGAGAAGACCCTATGGAGCTTTAATTAATCAACTCAAAAAGCATAAAATAATACCACCAAGGGATAACAAAGCTTTATATGGGCTGACAATTTCGGTTGGGGTGACCTCGGAGTATAAAAAACTCTCCGAGTGATTAAAACTTAGGCCTACCAGCCAAAGTATAGTATCACTTATTGATCCAAAATTTTGATCAACGGAACAAGTTACCCTAGGGATAACAGCGCAATCCTATTCTAGAGTCCATATCGACAATAGGGTTTACGA</t>
  </si>
  <si>
    <t>CTGTCTCTTACTTTTAATCAGTGAAATTGACCTCCCCGTGAAGAGGCAGGGATAACACAATAAGACGAGAAGACCCTATGGAGCTTTAATTAATCAACCCAAAAAGCACAAAATAATACCACCAAGGGATAATAGAGCTTTACATGAGCTGACAATTTCGGTTGGGGTGACCTCGGAGTATAAAAAACCCTCCGAGTGATCAAAACTTAGGCCTACTAGCCAAAGTATAGTATCACATATTGATCCAAAATTTTGATCAACGGAACAAGTTACCCTAGGGATAACAGCGCAATCCTATTCTAGAGTCCATATCGACAATAGGGTTTACGA</t>
  </si>
  <si>
    <t>CTGTCTCTTACTCTTAATCAGTGAAATTGACCTCCCCGTGAAGAGGCGGGGATAGCACAATAAGACGAGAAGACCCTATGGAGCTTTAATTAATCAACTCAAAAAGCATAAAATAGTACCACCAAGGGATAACAAAGCTTTATATGAGCTGACAATTTCGGTTGGGGTGACCTCGGAGTATAGAAAACCCTCCGAGTGATTAAAACTTAGGCCTACCAGCCAAAGTATAATATCACTTATTGATCCAAAATTTTGATCAACGGAACAAGTTACCCTAGGGATAACAGCGCAATCCTATTCTAGAGTCCATATCGACAATAGGGTTTACGA</t>
  </si>
  <si>
    <t>CTGTCTCTTACTTTTAATCAGTGAAATTGACCTCCCCGTGAAGAGGCGGGGATAACACAATAAGACGAGAAGACCCTATGGAGCTTTAATTAATCAACCCAAAAAGCACAAAATAATACCACCAAGGGATAACAAAGCTTTATATGAGTTGACAAGTTCGGTTGGGGTGACCTCGGAGTACAAAAAACCCTCCGAGTGATTAAAACTTAGGCCTACTAGCCAAAGTATAGTATCACATATTGATCCAAAA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</si>
  <si>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GCCTAGGCCTACTAGCCAAAGCATAGTATCACTTATTGATCCAAAGTTTTGATCAACGGAACAAGTTACCCTAGGGATAACAGCGCAATCCTATTCTAGAGTCCATATCGACAATAGGGTTTACGA</t>
  </si>
  <si>
    <t>CTGTCTCTTAGTTTCAATCAGTGAACGTGACCTTCCCATGAAGAGGCGGGAATAACAAAATAAGACCCAATGGAGTTTTAATTTATCAACCCCCCCAAAAAATAACTAAACCATCAAGTGATAACAAAAATTTATATTGGTTGACAACTTGGTTGGGGTGACCTCGGAGAACAAAAAAGCCTCCGAGTGATTAAAGTCTAGACTTACCAGTCAAAACATATTATCACTTATTGATCTAAAAAGCTGATCAATGGACCAAGTTACCCTAGGGATAACAGCACAATCCTATTCTAGAGTTCAAACTGACAATAGGGTTTACGA</t>
  </si>
  <si>
    <t>CTGTCTCTTACTTTTAATCAGTGAAATTGACCTCCCCGTGAAGAGGCGGGGATAACAAAATAAGACGAGAAGACCCTACGGAGCTTCAATTAATCAACCCCAAAACCATAATCTGAAACCACCAAGGAATAACAAAATTTCACAGGGGTTGACAATTTCGGTGACCTCCGAGCACAAAAAACTCTCCGAGTGATTAAAGCCTAGACCTACTAGCCAAAGTATAATATCACTTATTGATCCAAAAAATTGATCAACGGAACAAGGTACCCTAGGGATAACAGCGCAATCCTATTCTAGAGTCCATATCGACAATAGGGTTTACGA</t>
  </si>
  <si>
    <t>CTGTCTCTTACTCCTAATCAGTGAAATTGACCTCCCCGTGAAGAGGCGGGGATAACACAATAAGACGAGAAGACCCTATGGAGCTTTAATTAATCAACTCAAAAAGCATAAAATAATACCACCAAGGGATAACAAAGCTTTATATGGGCTGACAATTTCGGTTGGGGTGACCTCGGAGTATAAAAAACCCTCCGAGTGATCAAAACTTAGGCCTACTAGCCAAAGTATAGTATCACATATTGATCCAAAATTTTGATCAACGGAACAAGTTACCCTAGGGATAACAGCGCAATCCTATTCTAGAGTCCATATCGACAATAGGGTTTACGA</t>
  </si>
  <si>
    <t>CTGTCTCTTACTCTTAATCAGTGAAATTGACCTCCCCGTGAAGAGGCGGGGATAATACAATAAGACGAGAAGACCCTATGGAGCTTTAATTAATCAACTCAAAAAGCATAAAATAATACCACCAAGGGATAACAAAGCTTTATATGAATTGACAATTTCGGTTGGGGTGACCTCAGAGTATAAAAAACCCTCCGAGTGATTAAAACCTAGGCCTACTAGCCAAAGTATAATATCACTTATTGATCCAAAATTTTGATCAACGGAACAAGTTACCCTAGGGATAACAGCGCAATCCTATTCTAGAGTCCATATCGACAATAGGGTTTACGA</t>
  </si>
  <si>
    <t>CTGTCTCTTACTCCTAATCAGTGAAATTGACCTCCCCGTGAAGAGGCGGGGATAACACAATAAGACGAGAAGACCCTATGGAGCTTTAATTAATCAACTCAAAAAGCATAAAATAATACCACCAAGGGATAATAGAGCTTTACATGAGCTGACAATTTCGGTTGGGGTGACCTCGGAGTATAAAAAACCCTCCGAGTGATTAAAGCCTAGGCCTACTAGCCAAAGTATAGTATCACA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</si>
  <si>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GCCTAGACCTACTAGCCAAAGTATAATATCACTTATTGATCCAAAAAATTGATCAACGGAACAAGGTACCCTAGGGATAACAGCACAATCCTATTCTAGAGTCCATATCGACAATAGGGTTTATGA</t>
  </si>
  <si>
    <t>CTGTCTCTTACTTTTAATCAGTGAAAGTGACCTCCCCATGAAGAGGCGGGGAAAACAAAATAAGACCAGAAGACCCTATGGAGCTTCAATTAATCAACCCCAAAAGCCATAATGAAACCACCAAGGGACAATAGAACTTCACGAGTTGACGATTTCCGTTGGGGTGACCTCGGAGCACAAAAAAAACCTGAGTGATTAAAGCCTAGGCCCCCTAGCCAAAGCATGATATCACTTATTGATCCAAAAATTGATCAATGGAATCAGTTACCCTAGGGATCACAGCACAATCCTATTCTAGAGTCCATATTGACAATAGGGTTTATGA</t>
  </si>
  <si>
    <t>CTGTCTCTTACTTTTAATCAGTGAAATTGACCTCCCCGTGAAGAGGCGGGGATAATAAAATAGGACGAGAAGACCCTATAGAGCTTCAATTAATCAACCCAAAAATCACAAAATAAAACCCCCAAGGGATAACAAAGTTTTATATGGGCTGACAATTTCGGTTGGGGTGACCTCGGAGTACAAAAAAACCTCCGAGTGATTAAAGCCTAGGCCTACTAGCCAAAGCATAGTATCACTTATTGATCCAAAATTTTGATCAACGGAACAAGTTACCCTAGGGATAACAGCGCAATCCTATTCTAGAGTCCATATCGACAATAGGGTTTACGA</t>
  </si>
  <si>
    <t>CTGTCTCTTACTCTTAATCAGTGAAATTGACCTCCCCGTGAAGAGGCGGGGATAACACAATAAGACGAGAAGACCCTATGGAGCTTTAATTAATCAACTCAAAAAGCATAAAATAATACCACCAAGGGATAACAAAGCTTTATATGGGCTGACAATTTCGGTTGGGGTGACCTCGGAGTATAAAAAACCCTCCGAGTGATCAAAACTTAGGCCTACTAGCCAAAGTATAGTATCACATATTGATCCAAAATTTTGATCAACGGAACAAGTTACCCTAGGGATAACAGCGCAATCCTATTCTAGAGTCCATATCGACAATAGGGTTTACGA</t>
  </si>
  <si>
    <t>CTGTCTCTCACTCCTAATCAGTGAAATTGACCTCCCCGTGAAGAGGCGGGGATAACACAATAAGACGAGAAGACCCTATGGAGCTTTAATTAATCAACTCAAAAAGCATAAAACAATACCACCAAGGGATAACAAAGCTTTATATGAGCTGACAATTTCGGTTGGGGTGACCTCGGAGTATAGAAAACCCTCCGAGTGATTAAAACTTAGGCCTACCAGCCAAAGTATAATATCACT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</si>
  <si>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AAAAACCCTCCAAGTGATTAAAACTTAGGCCTACCAGCCAAAGTATAGTATCACTTATTGATCCAAAATTTTGATCAACGGAACAAGTTACCCTAGGGATAACAGCGCAATCCTATTCTAGAGTTCATATCGACAATAGGGTTTATGA</t>
  </si>
  <si>
    <t>CTGTCTCTCACTCCTAATCAGTGAAATTGACCTCCCCGTGAAGAGGCGGGGATAACACAATAAGACGAGAAGACCCTATGGAGCTTTAATTAATCAACTCAAAAAGCATAAAATAATACCACCAAGGGATAACAGAGCTTTACATGAGCTGACAATTTCGGTTGGGGTGACCTCGGAGTATAGAAAACCCTCCGAGTGATTAAAGCCTAGGCCTACTAGCCAAAGCATAGTATCACTTATTGATCCAAAGTTTTGATCAACGGAACAAGTTACCCTAGGGATAACAGCGCAATCCTATTCTAGAGTCCATATCGACAATAGGGTTTACGA</t>
  </si>
  <si>
    <t>CTGTCTCTTACTCCTAATCAGTGAAATTGACCTCCCCGTGAAGAGGCGGGGATAACACAATAAGACGAGAAGACCCTATGGAGCTTTAATTAATCAACTCAAAAAGCATAAAATAATACCACCAAGGGATAATAGAGCTTTACATGAGCTGACAATTTCGGTTGGGGTGACCTCGGAGTATAAAAAACCCTCCGAGTGATCAAAACTTAGGCCTACTAGCAAAAGTATAGTATCACATATTGATCCAAAATTTTGATCAACGGAACAAGTTACCCTAGGGATAACAGCGCAATCCTATTCTAGAGTCCATATCGACAATAGGGTTTACGA</t>
  </si>
  <si>
    <t>CTGTCTCTTACTCCTAATCAGTGAAATTGACCTCCCCGTGAAGAGGCGGGGATAACACAATAAGACGAGAAGACCCTATGGAGCTTTAATTAATCAACTCAAAAAGCATAAAATAATACCACCAAGGGATAATAGAGCTTTACATGAGCTGACAATTTCGGTTGGGGTGACCTCGGAGTATAAAAAACCCTCCGAGTGATCAAAACTTAGGCCTACTAGACAAAGTATAGTATCACATATTGATCCAAAATTTTGATCAACGGAACAAGTTACCCTAGGGATAACAGCGCAATCCTATTCTAGAGTCCATATCGACAATAGGGTTTACGA</t>
  </si>
  <si>
    <t>CTGTCTCTTACTTTTAATCAGTGAAATTGACCTTCCCATGAAGAGGCAGGAATAACAAAATAAGAAGACCCTATGGAGCTTTAATTAGTTAATCCAAAAATATATAATTAAACCACCAAGGGATAACAAAATTTCACATGGGTTAACAATTTTGGTTGGGGTGACCTCGGAGAACAAAAAAGCCTCCAAGTGATTAAAATCTAGACTTACCAGTCAAAACATAGTATCCCTTATTGATCCAAAAACTGATCAACGGAACAAGTTACCCTAGAAATAACAGCACAATCTTATTCCAGAGTTCATATCAACAACAGGGTTTACAA</t>
  </si>
  <si>
    <t>CTGTCTCTCACTCCTAATCAGTGAAATTGACCTCCCCGTGAAGAGGCGGGGATAGCACAATAAGACGAGAAGACCCTATGGAGCTTTAATTAATCAACTCAAAAAGCATAAAATAATACCACCAAGGGATAACAAAGCTTTATATGAGCTGACAATTTCGGTTGGGGTGACCTCGGAGTATAGAAAACCCTCCGAGTGATTAAAACTTAGGCCTACCAGCCAAAGTATAATATCACTTATTGATCCAAAATTTTGATCAACGGAACAAGTTACCCTAGGGATAACAGCGCAATCCTATTCTAGAGTCCATATCGACAATAGGGTTTACGA</t>
  </si>
  <si>
    <t>CTGTCTCTTACTCCTAATCAGTGAAATTGACCTCCCCGTGAAGAGGCGGGGATAACACAATAAGACGAGAAGACCCTATGGAGCTTTAATTAATCAACCCAAAAAGCACAAAATAATACCACCAAGGGATAATAGAGCTTTACATGAGCTGACAATTTCGGTTGGGGTGACCTCGGAGTATAAAAAACCCTCCGAGTGATCAAAACTTAGGCCTACTAGCCAAAGTATAGTATCACATATTGATCCAAAATTTTGATCAACGGAACAAGTTACCCTAGGGATAACAGCGCAATCCTATTCTAGAGTCCATATCGACAATAGGGTTTACGA</t>
  </si>
  <si>
    <t>CTGTCTCTTACTCTTAATCAGTGAAATTGACCTCCCCGTGAAGAGGCGGGGATAATACAATAAGACGAGAAGACCCTATGGAGCTTTAATTAATCAACTCAAAAAGCATAAAATAATACCACCAAGGGATAACAAAGCTTTATATGAGTTGACAATTTCAGTTGGGGTGACCTCAGAGTACAAAAAACCCTCCGAGTGATTAAAACCTAGGCCTACTAGCCAAAGTATAATATCACTTATTGATCCAAAATTTTGATCAACGGAACAAGTTACCCTAGGGATAACAGCGCAATCCTATTCTAGAGTCCATATCGACAATAGGGTTTACGA</t>
  </si>
  <si>
    <t>CTGTCTCTTACTCTTAATCAGTGAAATTGACCTCCCCGTGAAGAGGCGGGGATAACACAATAAGACGAGAAGACCCTATGGAGCTTTAATTAATCAACCCAAAAAGCACAAAATAATACCACCAAGGGATAACAAAGCTTTAGATGAGCTGACAATTTCGGTTGGGGTGACCTCGGAGTATAAAAAACCCTCCGAGTGATTAAAACTTAGGCCTACCAGCCAAAGTATAGTATCACTTATTGATCCAAAATTTTGATCAACGGAACAAGTTACCCTAGGGATAACAGCGCAATCCTATTCTAGAGTCCATATCGACAATAGGGTTTACGA</t>
  </si>
  <si>
    <t>CTGTCTCTTACTCTTAATCAGTGAAATTGACCTCCCCGTGAAGAGGCGGGGATAATACAATAAGACGAGAAGACCCTATGGAGCTTTAATTAATCAACTCAAAAAGCATAAAATAATACCACCAAGGGATAACAAAGCTTTATATGAGTTGACAAGTTCGGTTGGGGTGACCTCGGAGTACAAAAAACCCTCCAAGTGATTAAAACCTAGGCCTACTAGCCAAAGTATAATATCACTTATTGATCCAAAATTTTGATCAACAGAACAAGTTACCCTAGGGATAACAGCACAATCCTATTCTAGAGTCCATATCGACAATAGGGTTTACGA</t>
  </si>
  <si>
    <t>CTGTCTCTCACTCCTAATCAGTGAAATTGACCTCCCCGTGAAGAGGCGGGGATAACACAATAAGACGAGAAGACCCTATGGAGCTTTAATTAATCAACTCAAAAAGCATAAAATAATACCACCAAGGGATAACAAAGCTTTATATGGGCTGACAATTTCGGTTGGGGTGACCTCGGAGTATAGAAAACCCTCCGAGTGATTAAAACTTAGGCCTACCAGCCAAAGTATAATATCACTTATTGATCCAAAATTTTGATCAACGGAACAAGTTACCCTAGGGATAACAGCGCAATCCTATTCTAGAGTCCATATCGACAATAGGGTTTACGA</t>
  </si>
  <si>
    <t>CTGTCTCTTACTCTTAATCAGTGAAATTGACCTCCCCGTGAAGAGGCGGGGATAATACAATAAGACGAGAAGACCCTATGGAGCTTTAATTAATCAACTCAAAAAGCATAAAATAATACCACCAAGGGATAACAAAGCTTTATATGAATTGACAATTTCGGTTGGGGTGACCTCAGAGTATAAAAAACCCTCCGAGTGATTAAAACTTAGGCCTACTAGCCAAAGTATAGTATCACTTATTGATCCAAAATTTTGATCAACGGAACAAGTTACCCTAGGGATAACAGCGCAATCCTATTCTAGAGTCCATATCGACAATAGGGTTTACGA</t>
  </si>
  <si>
    <t>CTGTCTCTTACTTTTAATCAGTGAAATTGACCTCCCCGTGAAGAGGCGGGGATAATAAAATAGGACGAGAAGACCCTATAGAGCTTCAATTAATCAACCCAAAAATCACAAAATAAAACCGCCAAGGGATAACAAAGTTTTATATGGGCTGACAATTTCGGTTGGGGTGACCTCGGAGTACAAAAAAACCTCCGAGTGATTAAAGCCTAGGCCTACTAGCCAAAGCATAGTATCACTTATTGATCCAAAA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</si>
  <si>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ACCTAGGCCTACTAGCCAAAGTATAATATCACTTATTGATCCAAAATTTTGATCAACGGAACAAGTTACCCTAGGGATAACAGCGCAATCCTATTCTAGAGTCCATATCGACAATAGGGTTTACGC</t>
  </si>
  <si>
    <t>CCGTCTCTTACTTTTAATCAGTGACATTGACCTCCCCGTGAAGAGGCGGGGATAACAAAATAAGACGAGAAGATCCTATGGAGCTTCAATTAATCAACCCCAAAATCACAAACCCAAACCACCAAGGGCTAACAAAGCTTTATATGGGTTGACAATTTCGGTTGGGGTGACCTCGGAGTACAAAAAACCCTCCGAGTGATTAAAGCCTAGGCCTACTAGCCAAAGCATAATATCACTTATTGATCCAAAGTTTTGATCAATGGAAGAAGTTACTCTAGGGATAACAGCGCAATCCTATTCTAGAGTCCATATCGACAATAGGGTTTACGA</t>
  </si>
  <si>
    <t>CCGTCTCTTACTTTCAGTCAGTGAAGTTGACCTTACCGTGAAGAGGTGGGAATAACAAAATAAGACGAGAAGGCCCTATGGAGCTTTAATTAATTAAGCAAAAAAAACCTAACTAAACCACCAAGGGATAACAAAATTTTACATGGGGTGACAATTTTGGTTGGGGTGACCTTGGAACACAAAAAAGGCTCTGAGTGATTAAAGTCTAGACTTACCAGTCAAAACATATCATCACTAATTGATCCAAAAAATTGATCAACAAGTTACCCTAGGGATAACAGCTCAATCCTATTCTAGAGTTCATATCAACAATAGGGTTTATGA</t>
  </si>
  <si>
    <t>CTGTCTCTTACTATTCATCAGTGAAAATGACCTCCCCTTGAAGAGGTGGGGAAAACAAAATATAGACGAGAAGACCCTGTGGAGATTCAATTAATCAACCCAAAAACCATAATCTTAAACCACCAAGGAATAACAACATTTCACATGGGTTGACAGTTTCGTTGGGGTGACCTTGGAGCACAAAAATCCCTCTGAGTGATTAAAACCTAGACCTACTAGCTAAAGCATAATATCACTTACTGATCCAAAAAATTGATCAACGGAACAGGTTACCCTAGGGATCACAGCGCAATCCTATTCTAGAGTCCATATCGACAATAGGGTTTACGA</t>
  </si>
  <si>
    <t>CTGTCTCTTACTCTTAATCAGTGAAACTGACCTCCCCGTGAAGAGGCGGGGATAACACAATAAGACGAGAGGACCCTATGGAGCTTTAATTAATCAACCCAAAAAGCACAAAATAATACCACCAAGGGATAACAAAGCTTTATATGAATTGACAATTTCGGTTGGGGTGACCTCAGAGTATAAAAAACCCTCCGAGTGATTAAAACTTAGGCCTACTAGCCAAAGTATAGTATCACTTATTGATCCAAAATTTTGATCAACGGAACAAGTTACCCTAGGGATAACAGCGCAATCCTATTCTAGAGTCCATATCGACAATAGGGTTTACGA</t>
  </si>
  <si>
    <t>CTGTCTCTTACTCTTAATCAGTGAAATTGACCTCCCCGTGAAGAGGCGGGGATAACACAATAAGACGAGAAGACCCTATGGAGCTTTAATTAATCAACTCAAAAAGCATAAAACAATACCACCAAGGGATAACAAAGCTTTATATGAGCTGACAATTTCGGTTGGGGTGACCTCGGAGTATAAAAAACCCTCCGAGTGATTAAAACTTAGGCCTACCAGCCAAAGTATAATATCACTTATTGATCCAAAATTTTGATCAACGGAACAAGTTACCCTAGGGATAACAGCGCAATCCTATTCTAGAGTCCATATCGACAATAGGGTTTACGA</t>
  </si>
  <si>
    <t>CTGTCTGTTACTTTTAATCAGTGAAATTGACCTCTCCGTGAAGAGGCGGGGATAACAAAATAAGACGAGAAGACTCTATGGAGATTCACGGGATAACAAAGCTTTATATGGGTTGACAGTTTCGGTTTAGGTGACCTCAGAGTACAAAAAAACCTCCGAGTGATTAAAGCCTAAGCCTACTAACCAAAGCATAGTATCACTTATTGATCCAAAATTTTGATCAACGGAACGTTACGCTAGGGATAACAGCGCAGTCCTATTCTAAAGTCCATATTGACAATAGGGTTTATGA</t>
  </si>
  <si>
    <t>CTGTCTCTTACTCCTAATCAGTGAAATTGACCTCCCCGTGAAGAGGCGGGGATAACACAATAAGACGAGAAGACCCTATGGAGCTTTAATTAATCAACTCAAAAAGCATAAAATAATACCACCAAGGGATAATAGAGCTTTACATGAGCTGACAATTTCGGTTGGGGTGACCTCGGAGTATAAAAAACCCTCCGAGTGATTAAAATTTAGGCCTACTAGCCAAAGTATAGTATCACATATTGATCCAAAATCTTGATCAACGGAACAAGTTACCCTAGGGATAACAGCGCAATCCTATTCTAGAGTCCATATCGACAATAGGGTTTACGA</t>
  </si>
  <si>
    <t>CTGTCTCTTACTTTTAATCAGTGAAATTGACCTCCCCGTGAAGAGGCGGGGATAATAAAATAGGACGAGAAGACCCTATAGAGCTTCAATTAATCAACCCCAAAATCACAAAATAAAACCGCCAAGGGATAACAAAGTTTTATATGGGCTGACAATTTCGGTTGGGGTGACCTCGGAGTACAAAAAAACCTCCGAGTGATTAAAGCCTGGGCCTACTAGCCAAAGCATAGTATCACTTATTGATCCAAAATTTTGATCAACGGAGCAAGTTACCCTAGGGATAACAGCGCAATCCTATTCTAGAGTCCATATCGACAATACGGTTTACGA</t>
  </si>
  <si>
    <t>CTGTCTCTTACTTTTAATCAGTGAAATTGACCTCCCCATGAAAAGGGGGGGGGATAACAAAATAAGATGAGAAGACCCTATGGAGCTTCAATCAATGAACCCCAAAACTATAATCTTGAACCGCCAAGGAACAACAAAATTTCACATGGGTTGACAATTTCGGGTGGGATGACCTCGGAGCACAAAAAACCCTCCAAGTGATTAAAGCCTAGACCTACTAGCCAAAGCATAGTATTACTTATTGATCCAAAAAATTGATCAATGGAACAAGTTACCCTAGGGTTAACTGCGCAATTCTATTCTAGAGTCCATATCGACAATAGGGTTTATGA</t>
  </si>
  <si>
    <t>CTGTCTCTTACTCCTAATCAGTGAAATTGACCTCCCCGTGAAGAGGCGGGGATAGCACAATAAGACGAGAAGACCCTATGGAGCTTTAATTAATCAACTCAAAAAGCATAAAATAATACCACCAAGGGATAACAAAGCTTTACATGAGCTGACAATTTCGGTTGGGGTGACCTCGGAGTATAAAAAACCCTCCGAGTGATTAAAACTTAGGCCTACCAGCCAAAGTATAGTATCACTTATTGATCCAAAATTTTGATCAACGGAACAAGTTACCCTAGGGATAACAGCGCAATCCTATTCTAGAGTCCATATCGACAATAGGGTTTACGA</t>
  </si>
  <si>
    <t>CTGTCTCTTACTCTTAATCAGTGAAACTGACCTCCCCGTGAAGAGGCGGGGATAACACAATAAGACGAGAGGACCCTATGGAGCTTTAATTAATCAACCCAAAAAGCACAAAATAATACCACCAAGGGATAACAAAGCTTTATATGAATTGACAATTTCGGTTGGGGTGACCTCAGAGTATAAAAAACCCTCCGAGTGATTAAAACCTAGGCCTACTAGCCAAAGTATAATATCACTTATTGATCCAAAATTTTGATCAACGGAACAAGTTACCCTAGGGATAACAGCGCAATCCTATTCTAGAGTCCATATCGACAATAGGGTTTACGC</t>
  </si>
  <si>
    <t>CTGTCTCTTACTCCTAATCAGTGAAATTGACCTCCCCGTGAAGAGGCGGGGATAACACAATAAGACGAGAAGACCCTATGGAGCTTTAATTAATCAACTCAAAAAGCATAAAATAATACCACCAAGGGATAATAGAGCTTTACATGAGCTGACAATTTCGGTTGGGGTGACCTCGGAGTATAAAAAACCCTCCGAGTGATCAAAACTTAGGCCTACTAGCCAAAGTATAGTATCACATATTGATCCAAAATTTTGATCAACGGAACAAGTTACCCTAGGGATAACAGCGCAATCCTATTCTAGAGTACATATCGACAATAGGGTTTACGA</t>
  </si>
  <si>
    <t>CTGTCTCTCACTCCTAATCAGTGAAATTGACCTCCCCGTGAAGAGGCGGGGATAACACAATAAGACGAGAAGACCCTATGGAGCTTTAATTAATCAACTCAAAAAGCATAAAATAGTACCACCAAGGGATAACAAAGCTTTATATGAGCTGACAATTTCGGTTGGGGTGACCTCGGAGTATAGAAAACCCTCCGAGTGATTAAAACTTAGGCCTACCAGCCAAAGTATAATATCACTTATTGATCCAAAATTTTGATCAACGGAACAAGTTACCCTAGGGATAACAGCGCAATCCTATTCTAGAGTCCATATCGACAATAGGGTTTACGA</t>
  </si>
  <si>
    <t>CCGTCTCTTACTTTTAATCAGTGACATTGACCTCCCCGTGAAGAGGCGGGGATAACAAAATAAGACGAGAAGATCCTATGGAGCTTCAATTAATCAACCCCAAAATCACAAACCCAAACCACCAAGGGCTAACAAAGCTTTATATGGGTTGACAATTTCGGTTGGGGTGACCTCGGAGTACAAAAAACCCTCCGAGTGATCAAAACTTAGGCCTACTAGCCAAAGTATAGTATCACATATTGATCCAAAATTTTGATCAACGGAACAAGTTACCCTAGGGATAACAGCGCAATCCTATTCTAGAGTCCATATCGACAATAGGGTTTACGA</t>
  </si>
  <si>
    <t>CTGTCTCTTACTCCTAATCAGTGAAATTGACCTCCCCGTGAAGAGGCGGGGATAATGAAATAAGACGAGAAGACCCTATGGAGCTTTAATTAATCAACTCAAAAAGCATAAAATAATACCACCAAGGGATAATAGAGCTTTACATGAGCTGACAATTTCGGTTGGGGTGACCTCGGAGTATAAAAAACCCTCCGAGTGATCAAAACTTAGGCCTACTAGCCAAAGTATAGTATCACATATTGATCCAAAATTTTGATCAACGGAACAAGTTACCCTAGGGATAACAGCGCAATCCTATTCTAGAGTCCATATCGACAATAGGGTTTACGA</t>
  </si>
  <si>
    <t>CTGTCTCTCACTCCTAATCAGTGAAATTGACCTCCCCGTGAAGAGGCGGGGATAACACAATAAGACGAGAAGACCCTATGGAGCTTTAATTAATCAACCCAAAAAGCACAAAATAATACCACCAAGGGATAACAAAGCTTTATATGAGTTGACAAGTTCGGTTGGGGTGACCTCGGAGTACAAAAAACCCTCCGAGTGATTAAAACTTAGGCCTACCAGCCAAAGTATAATATCACTTATTGATCCAAAA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</si>
  <si>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ACTTAGGCCTACTAGCCAAAGTATAGTATCACTTATTGATCCAAAATTTTGATCAACGGAACAAGTTACA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</si>
  <si>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GCCTAGGCCTACTAGCCAAAGCATAGTATCACTTATTGATCCAAAATTTTGATCAACGGAACAAGTTACCCTAGGGATAACAGCGCAATCCTATTCTAGAGTCCATATCGACAATAGGGTTTACGA</t>
  </si>
  <si>
    <t>CTGTCTCTTACTCTTAATCAGTGAAATTGACCTCCCCGTGAAGAGGCGGGGATAATGCAATAAGACGAGAAGACCCTATGGAGCTTTAATTAATCAACTCAAAAAGCATAAAATAATACCACCAAGGGATAACAAAGCTTTAGATGAGCTGACAATTTCGGTTGGGGTGACCTCGGAGTATAAAAAACCCTCCGAGTGATTAAAGCCTAGGCCTACTAGCCAAAGCATAGTATCACTTATTGATCCAAAGTTTTGATCAACGGAACAAGTTACCCTAGGGATAACAGCGCAATCCTATTCTAGAGTCCATATCGACAATAGGGTTTACGA</t>
  </si>
  <si>
    <t>CTGTCTCTTACTTCCAATCAGTGAAATTGACCTTCCCGTGAAGAGGCGGGAATAAAAAAATAAGACGAGAAGACCCTATGGAGCTTTAATTAACTATTCCAAAAGTTAAACAATTCAACCACAAAGGGATAAAACATAACTTAACATGGACTAGCAATTTCGGTTGGGGTGACCTCGGAGTACAAAAAACCCTCCGAGTGATTTTAATCTAGACAAACCAGTCAAAATAACCATAACATCACTTATTGATCCAAAATTTTGATCAACGGAACAAGTTACCCTAGGGATAACAGCGCAATCCTGTTCTAGAGTTCCTATCGACAATAGGGTTTACGA</t>
  </si>
  <si>
    <t>CTGTCTCTTACTTTTAATCAGTGAAATTGACCTCCCCGTGAAGAGGCGGGGATAATAAAATAGGACGAGAAGACCCTATAGAGCTTCAATTAATCAACCCCAAAATCACAAAATAAAACCGCCAAGGGATAACAAAGTTTTATATGGGCTGACAATTTCGGTTGGGGTGACCTCGGAGTACAAAAAAACCTCCGAGTGATTAAAGCCTAGGCCTACTAGCCAAAGCATAGTATCACTTATTGATCCAAAATTTTGATCAACGGAACAAGTTACCCTAGGGATAACAGCGCAATCCTATTCTAGAGTCCATATCGACAATAGGGTTTACGA</t>
  </si>
  <si>
    <t>CTGTCTCTTACTCTTAATCAGTGAAATTGACCTCCCCGTGAAGAGGCGGGGATAACACAATAAGACGAGAAGACCCTATGGAGCTTTAATTAATCAACCCAAAAAGCACAAAATAATACCACCAAGGGATAACAAAGCTTTATATGAATTGACAATTTCGGTTGGGGTGACCTCAGAGTATAAAAAACCCTCCGAGTGATTAAAACTTAGGCCTACTAGCCAAAGTATAGTATCACTTATTGATCCAAAATTTTGATCAACGGAACAAGTTACCCTAGGGATAACAGCGCAATCCTATTCTAGAGTCCATATCGACAATAGGGTTTACGA</t>
  </si>
  <si>
    <t>CTGTCTCTTACTTTTAATCAGTGAAATTGACCTCCCCGTGAAGAGGCAGGGATAACACAATAAGACGAGAAGACCCTATGGAGCTTTAATTAATCAACTCAAAAAGCATAAAATAATACCACCAAGGGATAATAGAGCTTTACATGAGCTGACAATTTCGGTTGGGGTGACCTCGGAGTATAAAAAACCCTCCGAGTGATCAAAACTTAGGCCTACTAGCCAAAGTATAGTATCACATATTGATCCAAAATTTTGATCAACGGAACAAGTTACCCTAGGGATAACAGCGCAATCCTATTCTAGAGTCCATATCGACAATAGGGTTTACGA</t>
  </si>
  <si>
    <t>CTGTCTCTCACTCCTAATCAGTGAAATTGACCTCCCCGTGAAGAGGCGGGGATAACACAATAAGACGAGAAGACCCTATGGAGCTTTAATTAATCAACTCAAAAAGCATAAAACAATACCACCAAGGGATAACAAAGCTTTATATGAGCTGACAATTTCGGTTGGGGTGACCTCGGAGTATAAAAAACCCTCCGAGTGATTAAAACTTAGGCCTACCAGCCAAAGTATAATATCACTTATTGATCCAAAATTTTGATCAACGGAACAAGTTACCCTAGGGATAACAGCGCAATCCTATTCTAGAGTCCATATCGACAATAGGGTTTACGA</t>
  </si>
  <si>
    <t>TTGTCACTTACTTTCGATCAGTGAAATTGACCTTCCCGTGAAGAGGTGGCAATGACAAAATAAGATGAGACGACCCTATGGAGCTTTAATTAATTAACCCAAAATATAAACGATTAAGGGACAACAAAAATTTCATGTGGGTTAACAATTTTGGTCCGGGTGACCTCAGAGAACAAAACAACCTCCGAGTGATTAAAATATAGACCTGCTAGTCAAAATAATTTATCATTTATTGATCCAAAAAAATTGATCAATAGAACAAGTAACCCTTGGGCTAACAGCACAACCCTATTCTAGGGTTCATATCGACAACAGGGTTTACAA</t>
  </si>
  <si>
    <t>CTGTCTCTTACTCTTAATCAGTGAAATTGACCTCCCCGTGAAGAGGCGGGGATAATGCAATAAGACGAGAAGACCCTATGGAGCTTTAATTAATCAACTCAAAAAGCATAAAATAATACCACCAAGGGATAACAAAGCTTTAGATGAGCTGACAATTTCGGTTGGGGTGACCTCGGAGTATAAAAAACCCTCCGAGTGATTAAAGCCTAGGCCTACTAGCCAAAGCATAGTATCACTTATTGATCCAAAATTTTGATCAACGGAACAAGTTACCCTAGGGATAACAGCGCAATCCTATTCTAGAGTCCATATCGACAATAGGGTTTACGA</t>
  </si>
  <si>
    <t>CTGTCTCTCACTCCTAATCAGTGAAATTGACCTCCCCGTGAAGAGGCGGGGATAACAAAATAAGACGAGAAGACCCTACGGAGCTTCAATTAATCAACCCCAAAACCATAATCTTAAACCACCAAGGAATAACAAAATTTCACAGGGGTTGACCTCCGAGCACAAAAAACCCTCCGAGTGATTAAAGCCTAGACCTACTAGCCAAAGTATAATATCACTTATTGATCCAAAAAATTGATCAACGGAACAAGGTACCCTAGGGATAACAGCACAATCCTATTCTAGAGTCCATATCGACAATAGGGTTTATGA</t>
  </si>
  <si>
    <t>CTGTCTCTTACTTTTAATCAGTGAAATTGACCTCCCCGTGAAGAGGCGGGGATAACACAATAAGACGAGAAGACCCTATGGAGCTTTAATTAATCAACCCAAAAAGCACAAAATAATACCACCAAGGGATAACAAAGCTTTATATGAGTTGACAAGTTCGGTTGGGGTGACCTCGGAGTACAAAAAACCCTCCAAGTGATTAAAACCTAGGCCTACTAGCCAAAGTATAATATCACTTATTGATCCAAAATTTTGATCAACAGAACAAGTTACCCTAGGGATAACAGCACAATCCTATTCTAGAGTCCATATCGACAATAGGGTTTACGA</t>
  </si>
  <si>
    <t>CTGTCTCTTTTAATCAGTGAAATTGACCTCCCCGTGAAGAGGCGGGGATAACAAAATAAGACGAGAAGACCCTACGGAGCTTCAATTAATCAACCCCAAAACCATAATCTTAAACCACCAAGGAATAACAAAATTTCACAGGGGTTGACCTCCGAGCACAAAAAACCCTCCGAGTGATTAAAGCCTAGACCTACTAGCCAAAGTATAATATCACTTATTGATCCAAAATTTTGATCAACGGAACAAGTTACCCTAGGGATAACAGCGCAATCCTATTCTAGAGTCCATATCGACAATAGGGTTTACGA</t>
  </si>
  <si>
    <t>CTGTCTGTTACTTTTAATCAGTGAAATTGACCTCTCCGTGAAGAGGCGGGGATAACAAAATAAGACGAGAAGACCCTATGGAGATTCACGGGATAACAAAGCTTTATATGGGTTGACAGTTTCGGTTTAGGTGACCTCAGAGTACAAAAAAACCTCCGAGTGATTAAAGCCTAAGCCTACTAACCAAAGCATAGTATCACTTATTGATCCAAAATTTTGATCAACGGAACGTTACGCTAGGGATAACAGCGCAGTCCTATTCTAAAGTCCATATTGACAATAGGGTTTATGA</t>
  </si>
  <si>
    <t>CTGTCTCTCACTCCTAATCAGTGAAATTGACCTCCCCGTGAAGAGGCGGGGATAACACAATAAGACGAGAAGACCCTATGGAGCTTTAATTAATCAACTCAAAAAGCATAAAACAATACCACCAAGGGATAACAAAGCTTTATATGAGCTGACAATTTCGGTTGGGGTGACCTCGGAGTATAAAAAACCCTCCGAGTGATTAAAACTTAGGCCTACCAGCCAAAATATAGTATCACTTATTGATCCAAAATTTTGATCAACGGAACAAGTTACCCTAGGGATAACAGCGCAATCCTATTCTAGAGTCCATATCGACAATAGGGTTTACGA</t>
  </si>
  <si>
    <t>CCGTCTCTTACTTTTAATCAGTGACATTGACCTCCCCGTGAAGAGGCGGGGATAACAAAATAAGACGAGAAGATCCTATGGAGCTTCAATTAATCAACCCCAAAATCACAAACCCAAACCACCAAGGGCTAACAAAGCTTTATATGGGTTGACAATTTCGGTTGGGGTGACCTCGGAGTATAAAAAACCCTCCGAGTGATTAAAACTTAGGCCTACTAGCCAAAGTATAGTATCACTTATTGATCCAAAATTTTGATCAACGGAACAAGTTACCCTAGGGATAACAGCGCAATCCTATTCTAGAGTCCATATCGACAATAGGGTTTACGA</t>
  </si>
  <si>
    <t>CTGTCTCTCACTCCTAATCAGTGAAATTGACCTCCCCGTGAAGAGGCGGGGATAACACAATAAGACGAGAAGACCCTATGGAGCTTTAATTAATCAACCCAAAAAGCACAAAATAATACCACCAAGGGATAACAAAGCTTTATATGAGTTGACAATTTCGGTTGGGGTGCCCTCGGAGTATAAAAAGCCCTCCGAGTGATTAAAACCTAGGCCTACTAGCCAAAGTATAATATCACTTATTGATCCAAAATTTTGATCAACGGAACAAGTTACCCTAGGGATAACAGCGCAATCCTATTCTAGAGTCCATATCGACAATAGGGTTTACGA</t>
  </si>
  <si>
    <t>CTGTCTCTTACTCCTAATCAGTGAAATTGACCTCCCCGTGAAGAGGCGGGGATAGCACAATAAGACGAGAAGACCCTATGGAGCTTTAATTAATCAACTCAAAAAGCATAAAATAATACCACCAAGGGATAACAAAGCTTTAGATGAGCTGACAATTTCGGTTGGGGTGACCTCGGAGTATAAAAAACCCTCCGAGTGATTAAAACTTAGGCCTACCAGCCAAAGTATAGTATCACTTATTGATCCAAAATTTTGATCAACGGAACAAGTTACCCTAGGGATAACAGCGCAATCCTATTCTAGAGTCCATATCGACAATAGGGTTTACGA</t>
  </si>
  <si>
    <t>CTGTCTCTTACTCTTAATCAGTGAAATTGACCTCCCCGTGAAGAGGCGGGGATAATACAATAAGACGAGAAGACCCTATGGAGCTTTAATTAATCAACTCAAAAAGCATAAAATAATACCACCAAGGGATAACAAAGCTTTATATGGGCTGACAATTTCGGTTGGGGTGACCTCGGAGTATAAAAAACCCTCCGAGTGATTAAAACTTAGGCCTACCAGCCAAAGTATAGTATCACTTATTGATCCAAAATTTTGATCAACGGAACAAGTTACCCTAGGGATAACAGCGCAATCCTATTCTAGAGTCCATATCGACAATAGGGTTTACGA</t>
  </si>
  <si>
    <t>CTGTCTCTCACTCCTAATCAGTGAAATTGACCTCCCCGTGAAGAGGCGGGGATAACACAATAAGACGAGAAGACCCTATGGAGCTTTAATTAATCAACCCAAAAAGCACAAAATAATACCACCAAGGGATAACAAAGCTTTATATGAGTTGACAAGTTCGGTTGGGGTGACCTCGGAGTACAAAAAACCCTCCGAGTGATTAAAACCTAGGCCTACTAGCCAAAGTATAATATCACTTATTGATCCAAAATTTTGATCAACGGAACAAGTTACCCTAGGGATAACAGCGCAATCCTATTCTAGAGTCCATATCGACAATAGGGTTTACGA</t>
  </si>
  <si>
    <t>CTGTCTCTTAATCAGTGAAAGTGACCTCCCCACGAAGAGGCGGGGAAAACAAAATAAGACGAGAAGACCCTATGGAGCTTCAATTAATCAACCCCAAAAGCCATAATGAAACCACCAAGGGGCAACAGAACTTCACGAGTTGACGATTTCCGTTGGGGTGACCTCGGAGCACAAAAAAACCTCTGAGTGATTAAAGCCTAGGCCCCCTAGCCAAAGCATAATATCACTTATTGATCCAAAAATTGATCAATGGAATCAGTTACCCTAGGGATCACAGTGCAATCCTATTCTAGAGCGCATATCGACAATAGGGTTTATGA</t>
  </si>
  <si>
    <t>CTGTCTCTCACTCCTAATCAGTGAAATTGACCTCCCCGTGAAGAGGCGGGGATAACACAATAAGACGAGAAGACCCTATGGAGCTTTAATTAATCAACTCAAAAAGCATAAAATAATACCACCAAGGGATAACAGAGCTTTACATGAGCTGACAATTTCGGTTGGGGTGACCTCGGAGTATAAAAAACCCTCCGAGTGATTAAAACTTAGGCCTACCAGCCAAAGTATAGTATCACTTATTGATCCAAAATTTTGATCAACGGAACAAGTTACCCTAGGGATAACAGCGCAATCCTATTCTAGAGTCCATATCAACAATAGGGTTTACGA</t>
  </si>
  <si>
    <t>CTGTCTCTTACTCCTAATCAGTGAAATTGACCTCCCCGTGAAGAGGCGGGGATAACACAATAAGACGAGAAGACCCTATGGAGCTTTAATTAATCAACTCAAAAAGCATAAAATAATACCACCAAGGGATAACAAAGCTTTATATGAGCTGACAATTTCGGTTGGGGTGACCTCGGAGTATAAAAAACCCTCCGAGTGATTAAAATTTAGGCCTACTAGCCAAAGTATAGTATCACATATTGATCCAAAATCTTGATCAACGGAACAAGTTACCCTAGGGATAACAGCGCAATCCTATTCTAGAGTCCATATCGACAATAGGGTTTACGA</t>
  </si>
  <si>
    <t>CTGCCTCTTACTTTTAATCAGTGAAATTGACCTCCCCGTGAAGAGGCGGGGATAACAAAATAAGACGAGAAGACCCTACGGAGCTTCAATTAATCAACCCCAAAACCATAATCTTAAACCACCAAGGAATAACAAAATTTCACAGGGGTTGACAATTTCGGTGACCTCCGAGCACAAAAAACCCTCCGAGTGATTAAAGCCTAGACCTACTAGCCAAAGTATAATATCACTTATTGATCCAAAAAACTGATCAATGGAACAAGGTACCCTAGGGATAACAGCGCAATCCTATTCTAGAGTCCATATCGACAATAGGGTTTATGA</t>
  </si>
  <si>
    <t>CCGTCTCTTACTTTTAATCAGTGACATTGACCTCCCCGTGAAGAGGCGGGGATAACAAAATAAGACGAGAAGATCCTATGGAGCTTCAATTAATCAACCCCAAAATCACAAACCCAAACCACCAAGGGCTAACAAAGCTTTATATGGGTTGACAATTTCGGTTGGGGTGACCTCGGAGTACAAAAAACCCTCCGAGTGATTAAAGCCTAGGCCTACTAGCCAAAGCATAATATCACTTATTGATCCAAAGTTTTGATCAATGGAAGAAGTTACTCTAGGGATAACAGCGCAATCCTAGTCTAGAGTCAATATCGGTAATAGCGTTTATGA</t>
  </si>
  <si>
    <t>CTGTCTCTTACTCTTAATCAGTGAAATTGACCTCCCCGTGAAGAGGCGGGGATAATACAATAAGACGAGAAGACCCTATGGAGCTTTAATTAATCAACCCAAAAAGCACAAAATAATACCACCAAGGGATAACAAAGCTTTAGATGAGCTGACAATTTCGGTTGGGGTGACCTCGGAGTATAAAAAACCCTCCGAGTGATTAAAACTTAGGCCTACTAGCCAAAGTATAGTATCACTTATTGATCCAAAATTTTGATCAACGGAACAAGTTACCCTAGGGATAACAGCGCAATCCTATTCTAGAGTCCATATCGACAATAGGGTTTACGA</t>
  </si>
  <si>
    <t>CTGTCTCTTACTTTTAATCAGTGAAATTGACCTCCCCGTGAAGAGGCGGGGATAACACAATAAGACGAGAAGACCCTATGGAGCTTTAATTAATCAACTCAAAAAGCATAAAATAATACCACCAAGGGATAACAGAGCTTTACATGAGCTGACAATTTCGGTTGGGGTGACCTCGGAGTATAGAAAACCCTCCGAGTGATTAAAACTTAGGCCTACCAGCCAAAGTATAATATCACTTATTGATCCAAAATTTTGATCAACGGAACAAGTTACCCTAGGGATAACAGCGCAATCCTATTCTAGAGTCCATATCGACAATAGGGTTTACGA</t>
  </si>
  <si>
    <t>CTGTCTCTTACTTTTAATCAGTGAAATTGACCTCGCCATGAAGAGGTGGGGATAATAAAATAGGACGAGAAGACCCTATAGAGCTTCAATTAATCAACCCCAAAATCACAAAATAAAACCGCCAAGGGATAACAAAGTTTTATATGGGCTGACAATTTCGGTTGGGGTGACCTCGGAGTACAAAAAAACCTCCAAGTGATTAAAGCCTGGGCCTACTAGCCAAAGCATAGTATCACTTATTGATCCAAAATTTTGATCAACGGAGCAAGTTACCCTAGGGATAACAGCGCAATCCTATTCTAGAGTCCATATCGACAATAGGGTTTACGA</t>
  </si>
  <si>
    <t>CTGTCTCTCACTCCTAATCAGTGAAATTGACCTCCCCGTGAAGAGGCGGGGATAACACAATAAGACGAGAAGACCCTATGGAGCTTTAATTAATCAACTCAAAAAGCATAAAATAATACCACCAAGGGATAACAAAGCTTTAGATGAGCTGACAATTTCGGTTGGGGTGACCTCGGAGTATAGAAAACCCTCCGAGTGATTAAAACTTAGGCCTACCAGCCAAAGTATAATATCACTTATTGATCCAAAATTTTGATCAACGGAACAAGTTACCCTAGGGATAACAGCGCAATCCTATTCTAGAGTCCATATCGACAATAGGGTTTACGA</t>
  </si>
  <si>
    <t>CTGTCTCTCACTCCTAATCAGTGAAATTGACCTCCCCGTGAAGAGGCGGGGATAACACAATAAGACGAGAAGACCCTATGGAGCTTTAATTAATCAACCCAAAAAGCACAAAATAATACCACCAAGGGATAACAGAGCTTTACATGAGCTGACAATTTCGGTTGGGGTGACCTCGGAGTATAGAAAACCCTCCGAGTGATTAAAACTTAGGCCTACCAGCCAAAGTATAATATCACTTATTGATCCAAAATTTTGATCAACGGAACAAGTTACCCTAGGGATAACAGCGCAATCCTATTCTAGAGTCCATATCGACAATAGGGTTTACGA</t>
  </si>
  <si>
    <t>CTGTCTCTTACTTTTAATCAGTGAAAGTGACCTCCCCATGAAGAGGCGGGGAAAACAAAATAAGACCAGAAGACCCTATGGAGCTTCAATTAATCAACCCCAAAAGCCATAATGAAACCACCAAGGGACAATAGAACTTCACGAGTTGACGATTTCCGTTGGGGTGACCTCGGAGCACAAAAAAAACCTGAGTGATTAAAGCCTAGGCCCCCTAGCCAAAGCATGATATCACTTATTGATCCAAAAATTGATCAATGGAATCAGTTACCCTAGGGATCACAGCACAATCCTATTCTAGAGTCCATATCGACAATAGGGTTTATGA</t>
  </si>
  <si>
    <t>CTGTCTCTTACTCTTAATCAGTGAAATTGACCTCCCCGTGAAGAGGCGGGGATAATACAATAAGACGAGAAGACCCTATGGAGCTTTAATTAATCAACTCAAAAAGCATAAAATAATACCACCAAGGGATAACAAAGCTTTAGATGAGCTGACAATTTCGGTTGGGGTGACCTCGGAGTATAAAAAACCCTCCGAGTGATTAAAACTTAGGCCTACTAGCCAAAGTATAGTATCACTTATTGATCCAAAATTTTGATCAACGGAACAAGTTACCCTAGGGATAACAGCGCAATCCTATTCTAGAGTCCATATCGACAATAGGGTTTACGC</t>
  </si>
  <si>
    <t>CTGTCTCTTACTCTTAATCAGTGAAATTGACCTCCCCGTGAAGAGGCGGGGATAACACAATAAGACGAGAAGACCCTATGGAGCTTTAATTAATCAATTCAGAAAGCATAAAATAATACCACCAAGGGATAACAAAGCTTTAGATGAGCTGACAATTTCGGTTGGGGTGACCTCGGAGTATAAAAAACCCTCCGAGTGATTAAAACTTAGGCCTACTAGCCAAAGTATAGTATCACTTATTGATCCAAAATTTTGATCAACGGAACAAGTTACCCTAGGGATAACAGCGCAATCCTATTCTAGAGTCCATATCGACAATAGGGTTTACGA</t>
  </si>
  <si>
    <t>CTGTCTCTTACTCTTAATCAGTGAAATTGACCTCCCCGTGAAGAGGCGGGGATAGCACAATAAGACGAGAAGACCCTATGGAGCTTTAATTAATCAACTCAAAAAGCATAAAATAGTACCACCAAGGGATAACAAAGCTTTATATGAGCTGACAATTTCGGTTGGGGTGACCTCGGAGTATAAAAAACCCTCCAAGTGATTAAAACTTAGGCCTACCAGCCAAAGTATAGTATCACTTATTGATCCAAAATCTTGATCAATGGAACAAGTTACCCTAGGGATAACAGCGCAATCCTATTCTAGAGTCCATATCGACAATAGGGTTTACGA</t>
  </si>
  <si>
    <t>CTGTCTCTTACTCTTAATCAGTGAAATTGACCTCCCCGTGAAGAAGCGGGGATAACACAATAAGACGAGAAGACCCTATGGAGCTTTAATTAATCAACTCAAAAAGCATAAAATAATACCACCAAGGGATAACAAAGCTTTATATGGGCTGACAATTTCGGTTGGGGTGACCTCGGAGTATAAAAAACTCTCCGAGTGATTAAAACTTAGGCCTACCAGCCAAAGTATAGTATCACTTATTGATCCAAAATTTTGATCAACGGAACAAGTTACCCTAGGGATAACAGCGCAATCCTATTCTAGAGTCCATATCGACAATAGGGTTTACGA</t>
  </si>
  <si>
    <t>CTGTCTCTTACTCCTAATCAGTGAAATTGACCTCCCCGTGAAGAGGCGGGGATAACACAATAAGACGAGAAGACCCTATGGAGCTTTAATTAATCAACTCAAAAAGCATAAAATAATACCACCAAGGGATAATAGAGCTTTACATGAGCTGACAATTTCGGTTGGGGTGACCTCGGAGTATAAAAAACCCTCCGAGTGATTAAAGCCTAGGCCTACTAGCCAAAGCATAGTATCACTTATTGATCCAAAGTTTTGATCAACGGAACAAGTTACCCTAGGGATAACAGCGCAATCCTATTCTAGAGTCCATATCGACAATAGGGTTTACGA</t>
  </si>
  <si>
    <t>CTGTCTCTTACTCCTAATCAGTGAAATTGACCTCCCCGTGAAGAGGCGGGGATAACACAATAAGACGAGAAGACCCTATGGAGCTTTAATTAATCAACTCAAAAAGCATAAAATAATACCACCAAGGGATAACAAAGCTTTATATGAGCTGACAATTTCGGTTGGGGTGACCTCGGAGTATAAAAAACCCTCCGAGTGATCAAAACTTAGGCCTACTAGCCAAAGTATAGTATCACATATTGATCCAAAATTTTGATCAACGGAACAAGTTACCCTAGGGATAACAGCGCAATCCTATTCTAGAGTCCATATCGACAATAGGGTTTACGA</t>
  </si>
  <si>
    <t>CTGTCTCTTACTCCTAATCAGTGAAATTGACCTCCCCGTGAAGAGGCGGGGATAACACAATAAGACGAGAAGACCCTATGGAGCTTCAATTAATCAACCCCAAAATCACAAACCCAAACCACCAAGGGCTAACAAAGCTTTATATGGGTTGACAATTTCGGTTGGGGTGACCTCGGAGTACAAAAAACCCTCCGAGTGATTAAAGCCTAGGCCTACTAGCCAAAGCATAGTATCACTTATTGATCCAAAGTTTTGATCAACGGAACAAGTTACCCTAGGGATAACAGCGCAATCCTATTCTAGAGTCCATATCGACAATAGGGTTTACGA</t>
  </si>
  <si>
    <t>CTGTCTCTTACTTCTAATCAGTGAAATTGACCTCCCCGTGAAGAGGCGGGGATAACACAATAAGACGAGAAGACCCTATGGAGCTTTAATTAATCAACCCAAAAAGCACAAAATAATACCACCAAGGGATAACAAAGCTTTATATGAGTTGACAATTTCAGTTGGGGTGACCTCAGAGTACAAAAAACCCTCCGAGTGATTAAAACCTAGGCCTACTAGCCAAAGTATAATATCACTTATTGATCCAAAATTTTGATCAACGGAACAAGTTACCCTAGGGATAACAGCGCAATCCTATTCTAGAGTCCATATCGACAATAGGGTTTACGA</t>
  </si>
  <si>
    <t>CTGCCTCTTACTATTCATCAGTGAAAATGACCTCCCCTTGAAGAGGTGGGGAAAACAAAATAAGACGAGAAGACCCTATGGAGATTCAATTAATCAACCCAAAAACCATAATCTTAAACCACCAAGGAATAACAACATTTCACATGGGTTGATAATTTCGTTGGGGTGACCTTGGAGCACAAAAATCCCTCTGAGTGATTAAAACCTAGACCTACTAGCTAAAGCATAATATCACTTACTGATCCAAAAAATTGATCAACGGAACAGGTTACCCCAGGGATCACAGTGCAATCCTATTCTAGAGTCCATATCGACAACAGCGTTTAGGA</t>
  </si>
  <si>
    <t>CTGTCTCTTACTCCTAATCAGTGAAATTGACCTCCCCGTGAAGAGGCGGGGATAACACAATAAGACGAGAAGACCCTATGGAGCTTTAATTAATCAACTCAAAAAGCATAAAATAATACCACCAAGGGATAATAGAGCTTTACATGAGCTGACAATTTCGGTTGGGGTGACCTCGGAGTATAAAAAACCCTCCGAGTGATCAAAACTTAGGCCTACTAGCCAAAGTATAGTATCACATATTGATCCAAAATC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</si>
  <si>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ACTTAGGCCTACCAGCCAAAGTATAATATCACTTATTGATCCAAAATTTTGATCAACGGAACAAGTTACCCTAGGGATAACAGCGCAATCCTATTCTAGAGTCCATATCAACAATAGGGTTTACGA</t>
  </si>
  <si>
    <t>CTGTCTCTTACTCCTAATCAGTGAAATTGACCTCCCCGTGAAGAGGCGGGGATAACACAATAAGACGAGAAGACCCTATGGAGCTTTAATTAATCAACTCAAAAAGCATAAAATAATACCACCAAGGGATAATAGAGCTTTACATGAGCTGACAATTTCGGTTGGGGTGACCTCGGAGTATAAAAAACCCTCCGAGTGATTAAAACCTAGGCCTACTAGCCAAAGTATAATATCACT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</si>
  <si>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ACTTAGGCCTACCAGCCAAAGTATAGTATCACTTATTGATCCAAAATTTTGATCAACGGAACAAGTTACCCTAGGGATAACAGCGCAATCCTATTCTAGAGTCCATATCAACAATAGGGTTTACGA</t>
  </si>
  <si>
    <t>CTGTCTCTTACTCTTAATCAGTGAAATTGACCTCCCCGTGAAGAAGCGGGGATAACACAATAAGACGAGAAGACCCTATGGAGCTTTAATTAATCAACTCAAAAAGCATAAAATAATACCACCAAGGGATAATAGAGCTTTACATGAGCTGACAATTTCGGTTGGGGTGACCTCGGAGTATAAAAAACCCTCCGAGTGATCAAAACTTAGGCCTACTAGCCAAAGTATAGTATCACATATTGATCCAAAATTTTGATCAACGGAACAAGTTACCCTAGGGATAACAGCGCAATCCTATTCTAGAGTCCATATCGACAATAGGGTTTACGA</t>
  </si>
  <si>
    <t>CTGTCTCTTACTCTTAATCAGTGAAATTGACCTCCCCGTGAAGAGGCGGGGATAACACAATAAGACGAGAAGACCCTATGGAGCTTTAATTAATCAACTCAAAAAGCATAAAACAATACCACCAAGGGATAACAAAGCTTTATATGAGCTGACAATTTCGGTTGGGGTGACCTCGGAGTATAAAAAACCCTCCGAGTGATTAAAACTTAGGCCTACCAGCCAAAATATAGTATCACTTATTGATCCAAAATTTTGATCAACGGAACAAGTTACCCTAGGGATAACAGCGCAATCCTATTCTAGAGTCCATATCGACAATAGGGTTTACGA</t>
  </si>
  <si>
    <t>CTGTCTCTTACTCTTAATCAGTGAAATTGACCTCCCCGTGAAGAGGCGGGGATAACACAATAAGACGAGAAGACCCTATGGAGCTTTAATTAATCAACTCAAAAAGCATAAAATAATACCACCAAGGGATAACAAAGCTTTATATGGGCTGACAATTTCGGTTGGGGTGACCTCGGAGTATAAAAAACCCTCCGAGTGATTAAAACTTAGGCCTACCAGCCAAAGTATAGTATCACTTATTGATCCAAAATTTTGATCAACGGAACAAGTTACCCTAGGGATAACAGCGCAATCCTATTCTAGAGTCCATATCGACAATAGGGTTTACGA</t>
  </si>
  <si>
    <t>CTGTCTCTCACTCCTAATCAGTGAAATTGACCTCCCCGTGAAGAGGCGGGGATAACACAATAAGACGAGAAGACCCTATGGAGCTTTAATTAATCAACTCAAAAAGCATAAAATAATACCACCAAGGGATAACAAAGCTTTATATGGGCTGACAATTTCGGTTGGGGTGACCTCGGAGTATAAAAAACCCTCCGAGTGATTAAAACTTAGGCCTACCAGCCAAAGTATAGTATCACTTATTGATCCAAAATTTTGATCAACGGAACAAGTTACCCTAGGGATAACAGCGCAATCCTATTCTAGAGTCCATATCGACAATAGGGTTTACGA</t>
  </si>
  <si>
    <t>CTGTCTCTTACTCTTAATCAGTGAAATTGACCTCCCCGTGAAGAGGCGGGGATAACACAATAAGACGAGAAGACCCTATGGAGCTTTAATTAATCAATTCAGAAAGCATAAAATAATACCACCAAGGGATAACAAAGCTTTATATGGGCTGACAATTTCGGTTGGGGTGACCTCGGAGTATAAAAAACCCTCCGAGTGATTAAAACTTAGGCCTACTAGCCAAAGTATAGTATCACTTATTGATCCAAAATTTTGATCAACGGAACAAGTTACCCTAGGGATAACAGCGCAATCCTATTCTAGAGTCCATATCGACAATAGGGTTTACGA</t>
  </si>
  <si>
    <t>CTGTCTCTTACTCTTAATCAGTGAAATTGACCTCCCCGTGAAGAGGCGGGGATAACACAATAAGACGAGAAGACCCTATGGAGCTTTAATTAATCAACCCAAAAAGCACAAAATAATACCACCAAGGGATAACAAAGCTTTAGATGAGCTGACAATTTCGGTTGGGGTGACCTCGGAGTATAAAAAACCCTCCGAGTGATTAAAACTTAGGCCTACTAGCCAAAGTATAGTATCACTTATTGATCCAAAATTTTGATCAACGGAACAAGTTACCCTAGGGATAACAGCGCAATCCTATTCTAGAGTCCATATCGACAATAGGGTTTACGA</t>
  </si>
  <si>
    <t>CTGTCTCTTACTTTTAATCAGTGAAATTGACCTCCCCGTGAAGAGGCAGGGATAACACAATAAGACGAGAAGACCCTATGGAGCTTTAATTAATCAACCCAAAAAGCACAAAATAATACCACCAAGGGATAACAAAGCTTTATATGAGTTGACAAGTTCGGTTGGGGTGACCTCGGAGTACAAAAAACCGTCCGAGTGATTAAAAGCTAGGCCTACTAGCCAAAGTATAATATCACTTATTGATCCAAAATTTTGATCAACGGAACAAGTTACCCTAGGGATAACAGCGCAATCCTATTCTAGAGTCCATATCGACAATAGGGTTTACGA</t>
  </si>
  <si>
    <t>CCGTCTCTTACTTTTAATCAGTGAAATTGACCTCCCCGTGAAGAGGCGGGGATAACAAAATAAGACGAGAAGACCCTATGGAGCTTCAATTAATCAACCCCAAAATCACAAACCCAAACCACCAAGGGCTAACAAAGCTTTATATGGGTTGACAATTTCGGTTGGGGTGACCTCGGAGTACAAAAAACCCTCCGAGTGATTAAAGCCTAGGCCTACTAGCCAAAGCATAGTATCACTTATTGATCCAAAGTTTTGATCAACGGAACAAGTTACCCTAGGGATAACAGCGCAATCCTATTCTAGAGTCCATATCGACAATAGGGTTTACGA</t>
  </si>
  <si>
    <t>CTGTCTCTCACTCCTAATCAGTGAAATTGACCTCCCCGTGAAGAGGCGGGGATAACACAATAAGACGAGAAGACCCTATGGAGCTTTAATTAATCAACTCAAAAAGCATAAAATAATACCACCAAGGGATAACAAAGCTTTATATGAGTTGACAATTTCGGTTGGGGTGCCCTCGGAGTATAAAAAGCCCTCCGAGTGATTAAAACCTAGGCCTACTAGCCAAAGTATAATATCACTTATTGATCCAAAATTTTGATCAACGGAACAAGTTACCCTAGGGATAACAGCGCAATCCTATTCTAGAGTCCATATCGACAATAGGGTTTACGA</t>
  </si>
  <si>
    <t>CTGTCTCTTACTTTTAATCAGTGAAATTGACCTCCCCGTGAAGAGGCGGGGATAACAAAATAAGACGAGAAGACCCTACGGAGCTTCAATTAATCAACCCCAAAACCATAATCTGAAACCACCAAGGAATAACAAAATTTCACAGGGGTTGACAATTTCGGTGACCTCCGAGCACAAAAAACTCTCCGAGTGATTAAAGCCTAGACCTACTAGCCAAAGTATAATATCACTTATTGATCCAAAAAATTGATCAACGGAACAAGGTACCCTAGGGATAACAGCGCAATCCTATTCTAGAGTCCATATCGACAATAGGGTTTATGA</t>
  </si>
  <si>
    <t>CCGTCTCTTACTTTTAATCAGTGACATTGACCTCCCCGTGAAGAGGCGGGGATAACAAAATAAGACGAGAAGATCCTATGGAGCTTCAATTAATCAACCCCAAAATCACAAACCCAAACCACCAAGGGCTAACAAAGCTTTATATGGGTTGACAATTTCGGTTGGGGTGACCTCGGAGTACAAAAAACCCTCCGAGTGATTAAAGCCTAGGCCTACTAGCCAAAGCATAATATCACTTATTGATCCAAAGTTTTGATCAATGGAAGAAGTTACTCTAGGGATAACAGCGCAATCCTATTCTAGAGTCCATATCGGTAATAGCGTTTACGA</t>
  </si>
  <si>
    <t>CTGTCTCTCACTCCTAATCAGTGAAATTGACCTCCCCGTGAAGAGGCGGGGATAACACAATAAGACGAGAAGACCCTATGGAGCTTTAATTAATCAACTCAAAAAGCATAAAATAATACCACCAAGGGATAACAAAGCTTTATATGAGCTGACAATTTCGGTTGGGGTGACCTCGGAGTATAAAAAACCCTCCGAGTGATTAAAACTTAGGCCTACTAGCCAAAGTATAGTATCACATATTGATCCAAAATTTTGATCAACGGAACAAGTTACCCTAGGGATAACAGCGCAATCCTATTCTAGAGTCCATATCGACAATAGGGTTTACGA</t>
  </si>
  <si>
    <t>CTGTCTCTCACTCCTAATCAGTGAAATTGACCTCCCCGTGAAGAGGCGGGGATAACACAATAAGACGAGAAGACCCTATGGAGCTTTAATTAATCAACTCAAAAAGCATAAAATAATACCACCAAGGGATAACAAAGCTTTAGATGAGCTGACAATTTCGGTTGGGGTGACCTCGGAGTATAAAAAACCCTCCGAGTGATTAAAACTTAGGCCTACCAGCCAAAGTATAATATCACTTATTGATCCAAAATTTTGATCAACGGAACAAGTTACCCTAGGGATAACAGCGCAATCCTATTCTAGAGTCCATATCGACAATAGGGTTTACGA</t>
  </si>
  <si>
    <t>CCGTCTCTTACTTTCAGTCAGTGAAGTTGACCTTACCGTGAAGAGGTGGGAATAACAAAATAAGACGAGAAGGCCCTATGGAGCTTTAATTAATTAAGCAAAAAAAACCTAACTAAACCACCAAGGGATAACAAAATTTTACATGGGGTGACAATTTTGGTTGGGGTGACCTTGGAACACAAAAAAGGCTCTGAGTGATTAAAGTCTAGACTTACCAGTCAAAACATATCATCACTAATTGATCCCAAAAATTGATCAACAAGTTACCCTAGGGATAACAGCTCAATCCTATTCTAGAGTTCATATCAACAATAGGGTTTATGA</t>
  </si>
  <si>
    <t>CTGTCTCTTACTCTTAATCAGTGAAATTGACCTCCCCGTGAAGAGGCGGGGATAATGCAATAAGACGAGAAGACCCTATGGAGCTTTAATTAATCAACTCAAAAAGCATAAAATAATACCACCAAGGGATAACAAAGCTTTAGATGAGCTGACAATTTCGGTTGGGGTGACCTCGGAGTATAAAAAACCCTCCGAGTGATTAAAACCTAGGCCTACTAGCCAAAGTATAATATCACTTATTGATCCAAAATTTTGATCAACGGAACAAGTTACCCTAGGGATAACAGCGCAATCCTATTCTAGAGTCCATATCGACAATAGGGTTTACGA</t>
  </si>
  <si>
    <t>CCGTCTCTTACTTTTAATCAGTGAAACTGACCTCCCCGTGAAGAGGCGGGGATAACACAATAAGACGAGAAGACCCTATGGAGCTTTAATTAATCAACTCAAAAAGCATAAAATAATACCACCAAGGGATAATAGAGCTTTACATGAGCTGACAATTTCGGTTGGGGTGACCTCGGAGTATAAAAAACCCTCCGAGTGATCAAAACTTAGGCCTACTAGCCAAAGTATAGTATCACATATTGATCCAAAATTTTGATCAACGGAACAAGTTACCCTAGGGATAACAGCGCAATCCTATTCTAGAGTCCATATCGACAATAGGGTTTACGA</t>
  </si>
  <si>
    <t>CTGTCTCTTAGTTTCAATCAGTGAACGTGACCTTCCCATGAAGAGGCGGGAATAACAAAATAAGACCCAATGGAGCTTTAATTTATCAACCCCCCCAAAAAATAACTAAACCATCAAGTGATAACAAAAATTTATATTGGTTGACAACTTGGTTGGGGTGACCTCGGAGAACAAAAAAGCCTCCGAGTGATTAAAGTCTAGACTTACCAGTCAAAACATATTATCACTTATTGATCTAAAAAGCTGATCAATGGACCAAGTTACCCTAGGGATAACAGCACAATCCTATTCTAGAGTTCAAACTGACAATAGGGTTTACGA</t>
  </si>
  <si>
    <t>TTGTCACTTACTTTCGATCAGTGAAATTGACCTTCCCGTGAAGAGGTGGCAATGACAAAATAAGATGAGACGACCCTATGGAGCTTTAATTAATTAACCCAAAATATAAACGATTAAGGGACAACAAAAATTTCATGTGGGTTAACAATTTTGGTCCGGGTGACCTCAGAGAACAAAACAACCTCCGAGTGATTAAAATCTAGACCTGCTAGTCAAAATAATTTATCATTTATTGATCCAAAAATATTGATCAATAGAACAAGTAACCCTAGGGCTAACAGCACAACCCTATTCTAGGGTTCATATCGACAACAGGGTTTACAA</t>
  </si>
  <si>
    <t>CCGTCTCTTACTTTTAATCAGTGAAACTGACCTCCCCGTGAAGAGGCGGGGATAACACAATAAGACGAGAAGACCCTATGGAGCTTTAATTAATCAACTCAAAAAGCATAAAATAATACCACCAAGGGATAACAGAGCTTTACATGAGCTGACAATTTCGGTTGGGGTGACCTCGGAGTATAGAAAACCCTCCGAGTGATTAAAACTTAGGCCTACCAGCCAAAGTATAATATCACTTATTGATCCAAAATTTTGATCAACGGAACAAGTTACCCTAGGGATAACAGCGCAATCCTATTCTAGAGTCCATATCGACAATAGGGTTTACGA</t>
  </si>
  <si>
    <t>CTGTCTCTTACTTTTAATCAGCAAAATTGACCTCCCTGTGAAGAGGTAGAAGTGATGACAAAATAAGGCGAGAAGAGCCTGTGGAGCTTCAATTAATCAACCCCCAAAACACAGTTAAACCACCAAGGGATAACAAAACTTCACATGGGCTGACAATTTTGGTTGGGGTGACCTCAGAGCACAAAAAAACCTCCGAGTGATTAAAGCTTAGACCCACTAGTCAAAGCATAATATCACTTATTGATCCAAAAACTGATCAACGGAACAAGTTACCCCAGGGATAACAGCGCAATCCTATTCTAGAGTCCATATCGACAATAGGGTTTACAA</t>
  </si>
  <si>
    <t>CTGTCTCTTACTCTTAATCAGTGAAATTGACCTCCCCGTGAAGAGGCGGGGATAACACAATAAGACGAGAAGACCCTATGGAGCTTTAATTAATCAATTCAGAAAGCATAAAATAATACCACCAAGGGATAACAAAGCTTTATATGGGCTGACAATTTCGGTTGGGGTGACCTCGGAGTATAAAAAACCCTCCGAGTGATTAAAACTTAGGCCTACCAGCCAAAGTATAGTATCACTTATTGATCCAAAATTTTGATCAACGGAACAAGTTACCCTAGGGATAACAGCGCAATCCTATTCTAGAGTCCATATCGACAATAGGGTTTACGA</t>
  </si>
  <si>
    <t>CCGTCTCTTACTTTCAGTCAGTGAAGTTGACCTTACCGTGAAGAGGTGGGAATAACAAACTAAGACGAGAAGGCCCTATGGAGCTTTAATTAATTAAGCAAAAAAAACCTAACTAAACCACCAAGGGATAACAAAATTTTACATGGGGTGACAATTTTGGTTGGGGTGACCTTGGAACACAAAAAAGGCTCTGAGTGATTAAAGTCTAGACTTACCAGTCAAAACATATCATCACTAATTGATCCAAAAAATTGATCAACAAGTTACCCTAGGGATAACAGCTCAATCCTATTCTAGAGTTCATATCAACAATAGGGTTTATGA</t>
  </si>
  <si>
    <t>CTGTCTCTTACTCTTAATCAGTGAAATTGACCTCCCCGTGAAGAGGCGGGGATAACACAATAAGACGAGAAGACCCTATGGAGCTTTAATTAATCAACCCAAAAAGCACAAAATAATACCACCAAGGGATAACAAAGCTTTATATGAATTGACAATTTCGGTTGGGGTGACCTCAGAGTATAAAAAACCCTCCGAGTGATTAAAACCTAGGCCTACTAGCCAAAGTATAATATCACT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</si>
  <si>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ACTTAGGCCTACCAGCCAAAATATAGTATCACTTATTGATCCAAAATTTTGATCAACGGAACAAGTTACCCTAGGGATAACAGCGCAATCCTATTCTAGAGTCCATATCGACAATAGGGTTTACGA</t>
  </si>
  <si>
    <t>CTGTCTCTTACTTTTAATCAGTGAAATTGACCTCCCCGTGAAAAGGCGGGGATAACAAAATAAGACGAGAAGACCCTATGGAGCTTCAATTAGTTAATCCCAAAAAAACATGATTAAACCACCAAGGGATAACAAAATTTCACATGGATTGACAATTTTGGTTGGGGTGACCTCAGAGCACAAAAATACCTCTGAATGATTAAACCTTAGATCACTAGTCAAAGCATAGCATCACTTATTTATCCAAAAACTTGATCAACGGAACAAGTTACCCTAGGGATAATAGCACAATCCTATTCTAGAGTCCATATCGACAATAGGGTTTACGA</t>
  </si>
  <si>
    <t>CTGTCTCTTTTAATCAGTGAAATTGACCTCCCCGTGAAGAGGCGGGGATAACAAAATAAGACGAGAAGACCCTACGGAGCTTCAATTAATCAACCCCAAAACCATAATCTTAAACCACCAAGGAATAACAAAATTTCACAGGGGTTGACCTCCGAGCACAAAAAACCCTCCGAGTGATTAAAGCCTAGACCTACTAGCCAAAGTATAATATCACTTATTGATCCAAAAAATTGATCAACGGAACAAGGTACCCTAGGGATAACAGCACAATCCTATTCTAGAGTCCATATCGACAATAGGGTTTATGA</t>
  </si>
  <si>
    <t>CTGTCTCTCACTCCTAATCAGTGAAATTGACCTCCCCGTGAAGAGGCGGGGATAACACAATAAGACGAGAAGACCCTATGGAGCTTTAATTAATCAACTCAAAAAGCATAAAATAATACCACCAAGGGATAACAAAGCTTTATATGAGCTGACAATTTCGGTTGGGGTGACCTCGGAGTATAAAAAACCCTCCGAGTGATTAAAACTTAGGCCTACCAGCCAAAGTATAATATCACT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</si>
  <si>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ACCTAGGCCTACTAGCCAAAGTATAATATCACTTATTGATCCAAAATTTTGATCAACGGAACAAGTTACCCTAGGGATAACAGCGCAATCCTATTCTAGAGTCCATATCGACAATAGGGTTTACGA</t>
  </si>
  <si>
    <t>CTGTCTCTTACTCTTAATCAGTGAAATTGACCTCCCCGTGAAGAGGCGGGGATAATGAAATAAGACGAGAAGACCCTATGGAGCTTTAATTAATCAACTCAAAAAGCATAAAATAATACCACCAAGGGATAATAGAGCTTTACATGAGCTGACAATTTCGGTTGGGGTGACCTCGGAGTATAAAAAACCCTCCGAGTGATCAAAACTTAGGCCTACTAGCCAAAGTATAGTATCACATATTGATCCAAAATTTTGATCAACGGAACAAGTTACCCTAGGGATAACAGCGCAATCCTATTCTAGAGTCCATATCGACAATAGGGTTTACGA</t>
  </si>
  <si>
    <t>CCGTCTCTTACTTTTAATCAGTGAAATTGACCTCCCCGTGAAGAGGCGGGGATAACAAAATAAGACGAGAAGACCCTATGGAGCTTCAATTAATCAACCCCAAAATCACAAACCCAAACCACCAAGGGCTAACAAAGCTTTATATGGGTTGACAATTTCGGTTGGGGTGACCTCAGAGTACAAAAAACCCTCCGAGTGATTAAAGCCTAGGCCTACTAGCCAAAGCATAGTATCACTTATTGATCCAAAG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</si>
  <si>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ACTTAGGCCTACCAGCCAAAGTATAGTATCACTTATTGATCCAAAATCTTGATCAAT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</si>
  <si>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ACCTAGGCCTACTAGCCAAAGTATAATATCACTTATTGATCCAAAATTTTGATCAACGGAACAAGTTACCCTAGGGATAACAGCGCAATCCTATTCTAGAGTCCATATCGACAATAGGGTTTACGA</t>
  </si>
  <si>
    <t>CTGTCTCTCACTCCTAATCAGTGAAATTGACCTCCCCGTGAAGAGGCGGGGATAACACAATAAGACGAGAAGACCCTATGGAGCTTTAATTAATCAACTCAAAAAGCATAAAATAATACCACCAAGGGATAACAAAGCTTTATATGAGCTGACAATTTCGGTTGGGGTGACCTCGGAGTATAGAAAACCCTCCGAGTGATTAAAACTTAGGCCTACCAGCCAAAGTATAATATCACTTATTGATCCAAAATTTTGATCAACGGAACAAGTTACCCTAGGGATAACAGCGCAATCCTATTCTAGAGTCCATATCGACAATAGGGTTTACGA</t>
  </si>
  <si>
    <t>CTGTCTCTTACTCCTAATCAGTGAAATTGACCTCCCTGTGAAGAGGCGGGGATAACACAATAAGACGAGAAGACCCTATGGAGCTTTAATTAATCAACTCAAAAAGCATAAAATAATACCACCAAGGGATAACAGAGCTTTACATGAGCTGACAATTTCGGTTGGGGTGACCTCGGAGTATAGAAAACCCTCCGAGTGATTAAAACTTAGGCCTACCAGCCAAAGTATAATATCACTTATTGATCCAAAATTTTGATCAACGGAACAAGTTACCCTAGGGATAACAGCGCAATCCTATTCTAGAGTCCATATCGACAATAGGGTTTACGA</t>
  </si>
  <si>
    <t>CCGTCTCTTACTTTTAATCAGTGAAACTGACCTCCCCGTGAAGAGGCGGGGATAACACAATAAGACGAGAAGACCCTATGGAGCTTTAATTAATCAACCCAAAAAGCACAAAATAATACCACCAAGGGATAACAAAGCTTTATATGAGTTGACAATTTCGGTTGGGGTGCCCTCGGAGTATAAAAAGCCCTCCGAGTGATTAAAACCTAGGCCTACTAGCCAAAGTATAATATCACTTATTGATCCAAAATTTTGATCAACGGAACAAGTTACCCTAGGGATAACAGCGCAATCCTATTCTAGAGTCCATATCGACAATAGGGTTTACGA</t>
  </si>
  <si>
    <t>GCTGTCTCTTACTTTTAACCAGTGAAATTGACCTGCCCATGAAGAGGCGGGCATGACACAGCAAGACGAGAAGACCCTATGGAGCTTTAATTTATTAATGCAAACAGTACCTAACAAACCCACAGGTCCTAAACTACCAAACCTGCATTAAAAATTTCGGTTGGGGCGACCTCGGAGCAGAACCCAACCTCCGAGCAGTACATGCTAAGACTTCACCAGTCAAAGCGAACTACTATACTCAATTGATCCAATAACTTGACCAACGGAACAAGTTACCCTAGGGATAACAGCGCAATCCTATTCTAGAGTCCATATCAACAATAGGGTTTACGA</t>
  </si>
  <si>
    <t>CTGTCTCTTACTATTCATCAGTGAAAATGACCTCCCCTTGAAGAGGTGGGGAAAACAAAATATAGACGAGAAGACCCTGTGGAGATTCAATTAATCAACCCAAAAACCATAATCTTAAACCACCAAGGAATAACAACATTTCACATGGGTTGACAGTTTCGTTGGGGTGACCTTGGAGCACAAAAATCCCTCTGAGTGATTAAAACCTAGACCTACTAGCTAAAGCATAATATCACTTACTGATCCAAAAAATTGATCAACGGAACAGGTTACCCTAGGGATCACAGCGCAATCCTATTCTAGAGTCCATATCGACAACAGCGTTTAGGA</t>
  </si>
  <si>
    <t>CTGTCTCTTACTCTTAATCAGTGAAATTGACCTCCCCGTGAAGAGGCGGGGATAATGAAATAAGACGAGAAGACCCTATGGAGCTTTAATTAATCAACTCAAAAAGCATAAAATAATACCACCAAGGGATAACAAAGCTTTAGATGAGCTGACAATTTCGGTTGGGGTGACCTCGGAGTATAAAAAACCCTCCGAGTGATTAAAACTTAGGCCTACCAGCCAAAGTATAGTATCACT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</si>
  <si>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AAAAACCCTCCGAGTGATTAAAACTTAGGCCTACCAGCCAAAGTATAATATCACTTATTGATCCAAAATTTTGATCAACGGAACAAGTTACCCTAGGGATAACAGCGCAATCCTATTCTAGAGTCCATATCGACAATAGGGTTTACGA</t>
  </si>
  <si>
    <t>CTGTCTCTTACTCCTAATCAGTGAAATTGACCTCCCCGTGAAGAGGCGGGGATAGCACAATAAGACGAGAAGACCCTATGGAGCTTTAATTAATCAACTCAAAAAGCATAAAATAATACCACCAAGGGATAACAGAGCTTTACATGAGCTGACAATTTCGGTTGGGGTGACCTCGGAGTATAGAAAACCCTCCGAGTGATTAAAACTTAGGCCTACCAGCCAAAGTATAATATCACTTATTGATCCAAAATTTTGATCAACGGAACAAGTTACCCTAGGGATAACAGCGCAATCCTATTCTAGAGTCCATATCGACAATAGGGTTTACGA</t>
  </si>
  <si>
    <t>CTGTCTCTTACTCTTAATCAGTGAAATTGACCTCCCCGTGAAGAGGCGGGGATAATACAATAAGACGAGAAGACCCTATGGAGCTTTAATTAATCAACTCAAAAAGCATAAAATAATACCACCAAGGGATAATAGAGCTTTACATGAGCTGACAATTTCGGTTGGGGTGACCTCGGAGTATAAAAAACCCTCCGAGTGATTAAAACTTAGGCCTACTAGCCAAAGTATAGTATCACTTATTGATCCAAAATTTTGATCAACGGAACAAGTTACCCTAGGGATAACAGCGCAATCCTATTCTAGAGTCCATATCGACAATAGGGTTTACGA</t>
  </si>
  <si>
    <t>CTGTCTCTCACTCCTAATCAGTGAAATTGACCTCCCCGTGAAGAGGCGGGGATAACACAATAAGACGAGAAGACCCTATGGAGCTTTAATTAATCAACTCAAAAAGCATAAAATAATACCACCAAGGGATAACAGAGCTTTACATGAGCTGACAATTTCGGTTGGGGTGACCTCGGAGTATAGAAAACCCTCCGAGTGATTAAAACTTAGGCCTACCAGCCAAAGTATAGTATCACTTATTGATCCAAAATTTTGATCAACGGAACAAGTTACCCTAGGGATAACAGCGCAATCCTATTCTAGAGTCCATATCGACAATAGGGTTTACGA</t>
  </si>
  <si>
    <t>CTGTCTCTTACTCTTAATCAGTGAAATTGACCTCCCCGTGAAGAGGCGGGGATAACACAATAAGACGAGAAGACCCTATGGAGCTTTAATTAATCAACTCAAAAAGCATAAAATAATACCACCAAGGGATAACAGAGCTTTACATGAGCTGACAATTTCGGTTGGGGTGACCTCGGAGTATAGAAAACCCTCCGAGTGATTAAAACTTAGGCCTACCAGCCAAAGTATAATATCACTTATTGATCCAAAA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</si>
  <si>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CAAAACTTAGGCCTACTAGCCAAAGTATAGTATCACATATTGATCCAAAATTTTGATCAACGGAACAAGTTACCCTAGGGATAACAGCGCAATCCTATTCTAGAGTCCATATCGACAATAGGGTTTACGA</t>
  </si>
  <si>
    <t>CTGTCTCTTACTCCTAATCAGTGAAATTGACCTCCCCGTGAAGAGGCGGGGATAACACAATAAGACGAGAAGACCCTATGGAGCTTTAATTAATCAACTCAAAAAGCATAAAATAATACCACCAAGGGATAATAGAGCTTTACATGAGCTGACAATTTCGGTTGGGGTGACCTCGGAGTATAAAAAACCCTCCGAGTGATCAAAACTTAGGCCTACTAGCCAAAGTATAGTATCACTTATTGATCCAAAATTTTGATCAACGGAACAAGTTACCCTAGGGATAACAGCGCAATCCTATTCTAGAGTCCATATCGACAATAGGGTTTACGA</t>
  </si>
  <si>
    <t>CTGTCTCTTACTCTTAATCAGTGAAATTGACCTCCCCGTGAAGAGGCGGGGATAATGCAATAAGACGAGAAGACCCTATGGAGCTTTAATTAATCAACTCAAAAAGCATAAAATAATACCACCAAGGGATAATAGAGCTTTACATGAGCTGACAATTTCGGTTGGGGTGACCTCGGAGTATAAAAAACCCTCCGAGTGATTAAAACTTAGGCCTACCAGCCAAAGTATAGTATCACTTATTGATCCAAAATTTTGATCAACGGAACAAGTTACCCTAGGGATAACAGCGCAATCCTATTCTAGAGTCCATATCGACAATAGGGTTTACGA</t>
  </si>
  <si>
    <t>CTGTCTCTTACTCTTAATCAGTGAAATTGACCTCCCCGTGAAGAGGCGGGGATAATACAATAAGACGAGAAGACCCTATGGAGCTTTAATTAATCAACTCAAAAAGCATAAAATAATACCACCAAGGGATAACAAAGCTTTATATGAGCTGACAATTTCGGTTGGGGTGACCTCGGAGTATAAAAAACCCTCCGAGTGATTAAAACTTAGGCCTACTAGCCAAAGTATAGTATCACTTATTGATCCAAAATTTTGATCAACGGAACAAGTTACCCTAGGGATAACAGCGCAATCCTATTCTAGAGTCCATATCGACAATAGGGTTTACGA</t>
  </si>
  <si>
    <t>CTGTCTCTTACTCTTAATCAGTGAAATTGACCTCCCCGTGAAGAGGCGGGGATAATGCAATAAGACGAGAAGACCCTATGGAGCTTTAATTAATCAACTCAAAAAGCATAAAATAATACCACCAAGGGATAACAAAGCTTTAGATGAGCTGACAATTTCGGTTGGGGTGACCTCGGAGTATAAAAAACCCTCCGAGTGATTAAAACTTAGGCCTACTAGCCAAAGTATAGTATCACTTATTGATCCAAAA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</si>
  <si>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ACTTAGGCCTACCAGCCAAAGTATAGTATCACTTATTGATCCAAAATTTTGATCAACGGAACAAGTTACCCTAGGGATAACAGCGCAATCCTATTCTAGAGTCCATATCGACAATAGGGTTTACGA</t>
  </si>
  <si>
    <t>CTGTCTCTTACTTCCAATCAGTGAAATTGACCTTCCCGTGAAGAGGCGGGAATAAAAAAATAAGACGAGAAGACCCTATGGAGCTTTAATTAACTACTCCAAAAGTTAAACAATTCAACCACAAAGGGATAAAACATAACTTAACATGGACTAGCAATTTCGGTTGGGGTGACCTCGGAGTACAAAAAACCCTCCGAGTGATTTTAATCTAGACAAACCAGTCAAAATAACCATAACATCACTTATTGATCCAAAATTTTGATCAACGGAACAAGTTACCCTAGGGATAACAGCGCAATCCTATTCTAGAGTTCCTATCGACAATAGGGTTTACGA</t>
  </si>
  <si>
    <t>CTGTCTCTTACTCCTAATCAGTGAAATTGACCTCCCCGTGAAGAGGCGGGGATAACACAATAAGACGAGAAGACCCTATGGAGCTTTAATTAATCAACTCAAAAAGCATAAAATAATACCACCAAGGGATAACAAAGCTTTAGATGAGCTGACAATTTCGGTTGGGGTGACCTCGGAGTATAAAAAACCCTCCGAGTGATCAAAACTTAGGCCTACTAGCCAAAGTATAGTATCACATATTGATCCAAAATTTTGATCAACGGAACAAGTTACCCTAGGGATAACAGCGCAATCCTATTCTAGAGTCCATATCGACAATAGGGTTTACGA</t>
  </si>
  <si>
    <t>CTGTCTCTTACTCTTAATCAGTGAAATTGACCTCCCCGTGAAGAGGCGGGGATAATGCAATAAGACGAGAAGACCCTATGGAGCTTTAATTAATCAACTCAAAAAGCATAAAATAATACCACCAAGGGATAACAAAGCTTTAGATGAGCTGACAATTTCGGTTGGGGTGACCTCGGAGTATAAAAAACCCTCCGAGTGATCAAAACTTAGGCCTACTAGCCAAAGTATAGTATCACATATTGATCCAAAA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</si>
  <si>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ACTTAGGCCTACTAGCCAAAGTATAGTATCACATATTGATCCAAAATTTTGATCAACGGAACAAGTTACCCTAGGGATAACAGCGCAATCCTATTCTAGAGTCCATATCGACAATAGGGTTTACGA</t>
  </si>
  <si>
    <t>CTGTCTCTTACTCCTAATCAGTGAAATTGACCTCCCCGTGAAGAGGCGGGGATAGCACAATAAGACGAGAAGACCCTATGGAGCTTTAATTAATCAACTCAAAAAGCATAAAATAATACCACCAAGGGATAACAAAGCTTTATATGAGCTGACAATTTCGGTTGGGGTGACCTCGGAGTATAAAAAACCCTCCGAGTGATTAAAACTTAGGCCTACTAGCCAAAGTATAGTATCACATATTGATCCAAAATTTTGATCAACGGAACAAGTTACCCTAGGGATAACAGCGCAATCCTATTCTAGAGTCCATATCGACAATAGGGTTTACGA</t>
  </si>
  <si>
    <t>GCTGTCTCCTACTTTTAATCAGGGAAATTGACCTATCCGCGAAGAGGCGGATATAAACAAATAAGACGAGAAGACCCTATGTATGGAGCTTTAATTTATTAATGCAAATAAAAACTTAAGCCTACAGGCCCTAGCCTACTATCCCTGCATTAAAATTTTTGGTTGGGGTGACCTCAGAGCATAATTCAACCTCCGAGCAACCTAAACTAAGACTGCACTAGCCTAAGCAAGTTAATATATATTGACCTGATAATTTGATCAACGGAGTAAGTTACCCTAGGGATAACAGCGCAATCCTATTCTAGAGTCCATATCAACAATAGGGTTTACAA</t>
  </si>
  <si>
    <t>CTGTCTCTTACTCCTAATCAGTGAAATTGACCTCCCCGTGAAGAGGCGGGGATAACACAATAAGACGAGAAGACCCTATGGAGCTTTAATTAATCAACTCAAAAAGCATAAAATAATACCACCAAGGGATAATAGAGCTTTACATGAGCTGACAATTTCGGTTGGGGTGACCTCGGAGTATAAAAAACCCTCCGAGTGATTAAAACTTAGGCCTACCAGCCAAAGTATAGTATCACTTATTGATCCAAAATTTTGATCAACGGAACAAGTTACCCTAGGGATAACAGCGCAATCCTATTCTAGAGTCCATATCGACAATAGGGTTTACGA</t>
  </si>
  <si>
    <t>CTGTCTCTTACTCCTAATCAGTGAAATTGACCTCCCCGTGAAGAGGCGGGGATAACACAATAAGACGAGAAGACCCTATGGAGCTTTAATTAATCAACTCAAAAAGCATAAAATAATACCACCAAGGGATAACAAAGCTTTAGATGAGCTGACAATTTCGGTTGGGGTGACCTCGGAGTATAAAAAACCCTCCGAGTGATTAAAACTTAGGCCTACCAGCCAAAGTATAGTATCACTTATTGATCCAAAATTTTGATCAACGGAACAAGTTACCCTAGGGATAACAGCGCAATCCTATTCTAGAGTCCATATCGACAATAGGGTTTACGA</t>
  </si>
  <si>
    <t>CTGTCTCTTACTCTTAATCAGTGAAATTGACCTCCCCGTGAAGAGGCGGGGATAATGCAATAAGACGAGAAGACCCTATGGAGCTTTAATTAATCAACTCAAAAAGCATAAAATAATACCACCAAGGGATAATAGAGCTTTACATGAGCTGACAATTTCGGTTGGGGTGACCTCGGAGTATAAAAAACCCTCCGAGTGATCAAAACTTAGGCCTACTAGCCAAAGTATAGTATCACATATTGATCCAAAATTTTGATCAACGGAACAAGTTACCCTAGGGATAACAGCGCAATCCTATTCTAGAGTCCATATCGACAATAGGGTTTACGA</t>
  </si>
  <si>
    <t>CTGTCTCTTACTTCCAATCAGTGAAATTGACCTTCCCGTGAAGAGGCGGGAATAAAAAAATAAGACGAGAAGACCCTATGGAGCTTTAATTAACTATTCCAAAAGTTAAACAATTCAACCACAAAGGGATAAAACATAACTTAACATGGACTAGCAATTTCGGTTGGGGTGACCTCGGAGTACAAAAAACCCTCCGAGTGATTTTAATCTAGACAAACCAGTCAAAATAACCATAACATCACTTATTGATCCAAAATTTTGATCAACGGAACAAGTTACCCTAGGGATAACAGCGCAATCCTATTCTAGAGTTCCTATCGACAATAGGGTTTACGA</t>
  </si>
  <si>
    <t>CTGTCTCTTACTTCCAATCAGTGAAATTGACCTTCCCGTGAAGAGGCGGGAATGCACAAATAAGACGAGAAGACCCTATGGAGCTTTAACTAACCAACCCAAAGAGAATAGATTTAACCATTAAGGAATAACAACAATCTCCATGAGTTGGTAGTTTCGGTTGGGGTGACCTCGGAGAATAAAAAATCCTCCGAGCGATTTTAAAGACTAGACCCACAAGTCAAATCACTCTATCGCTCATTGATCCAAAAACTTGATCAACGGAACAAGTTACCCTAGGGATAACAGCGCAATCCTATTCAAGAGTCCATATCGACAATAGGGTTTACGA</t>
  </si>
  <si>
    <t>CTGTCTCTTACTTCCAATCAGTGAAATTAACCTTCCCGTGAAGAGGCGGGAATAAAAAAATAAGACGAGAAGACCCTATGGAGCTTTAATTAACTATTCCAAAAGTTAAACAACTCAACCACAAAGGGATAAAACATAACTTAACATGGACTAGCAATTTCGGTTGGGGTGACCTCGGAGTACAAAAAACCCTCCGAGTGATTTTAATCTAGACAAACCAGTCAAAATAACCATAACATCACTTATTGATCCAAAATTTTGATCAACGGAACAAGTTACCCTAGGGATAACAGCGCAATCCTGTTCTAGAGTTCCTATCGACAATAGGGTTTACGA</t>
  </si>
  <si>
    <t>CTGTCTCTTACTCTTAATCAGTGAAATTGACCTCCCCGTGAAGAGGCGGGGATAATGCAATAAGACGAGAAGACCCTATGGAGCTTTAATTAATCAACTCAAAAAGCATAAAATAATACCACCAAGGGATAACAAAGCTTTAGATGAGCTGACAATTTCGGTTGGGGTGACCTCGGAGTATAAAAAACCCTCCGAGTGATTAAAACTTAGGCCTACCAGCCAAAGTATAGTATCACTTATTGATCCAAAATTTTGATCAACGGAACAAGTTACCCTAGGGATAACAGCGCAATCCTATTCTAGAGTCCATATCGACAATAGGGTTTACGA</t>
  </si>
  <si>
    <t>GCTGTCTCTTACTTTTAACCAGTGAAATTGACCTGCCCGTGAAGAGGCGGGCATGACACAGCAAGACGAGAAGACCCTATGGAGCTTTAATTTATTAATGCAAACAGTACCTAACAAACCCACAGGTCCTAAACTACCAAACCTGCATTAAAAATTTCGGTTGGGGCGACCTCGGAGCAGAACCCAACCTCCGAGCAGTACATGCTAAGACTTCACCAGTCAAAGCGAACTACTATACTCAATTGATCCAATAACTTGACCAACGGAACAAGTTACCCTAGGGATAACAGCGCAATCCTATTCTAGAGTCCATATCAACAATAGGGTTTACGA</t>
  </si>
  <si>
    <t>CTGTCTCTCACTCCTAATCAGTGAAATTGACCTCCCCGTGAAGAGGCGGGGATAACACAATAAGACGAGAAGACCCTATGGAGCTTTAATTAATCAACTCAAAAAGCATAAAATAATACCACCAAGGGATAACAGAGCTTTACATGAGCTGACAATTTCGGTTGGGGTGACCTCGGAGTATAGAAAACCCTCCGAGTGATTAAAACTTAGGCCTACCAGCCAAAGTATAATATCACTTATTGATCCAAAATTTTGATCAACGGAACAAGTTACCCTAGGGATAACAGCGCAATCCTATTCTAGAGTCCATATCGACAATAGGGTTTACGA</t>
  </si>
  <si>
    <t>CTGTCTCTTACTCTTAATCAGTGAAATTGACCTCCCCGTGAAGAGGCGGGGATAATACAATAAGACGAGAAGACCCTATGGAGCTTTAATTAATCAACTCAAAAAGCATAAAATAATACCACCAAGGGATAACAAAGCTTTAGATGAGCTGACAATTTCGGTTGGGGTGACCTCGGAGTATAAAAAACCCTCCGAGTGATTAAAACTTAGGCCTACTAGCCAAAGTATAGTATCACTTATTGATCCAAAATTTTGATCAACGGAACAAGTTACCCTAGGGATAACAGCGCAATCCTATTCTAGAGTCCATATCGACAATAGGGTTTACGA</t>
  </si>
  <si>
    <t>CTGTCTCTTACTCCTAATCAGTGAAATTGACCTCCCCGTGAAGAGGCGGGGATAACACAATAAGACGAGAAGACCCTATGGAGCTTTAATTAATCAACTCAAAAAGCATAAAATAATACCACCAAGGGATAATAGAGCTTTACATGAGCTGACAATTTCGGTTGGGGTGACCTCGGAGTATAAAAAACCCTCCGAGTGATCAAAACTTAGGCCTACTAGCCAAAGTATAGTATCACATATTGATCCAAAATTTTGATCAACGGAACAAGTTACCCTAGGGATAACAGCGCAATCCTATTCTAGAGTCCATATCGACAATAGGGTTTACGA</t>
  </si>
  <si>
    <t>Sprattus sprattus</t>
  </si>
  <si>
    <t>Clupeidae</t>
  </si>
  <si>
    <t>TACACCCCGAAAAAGAACAATAAACCTTCTATTAACATTATTAACAAATACAACCCTAGCCCTACTACTTATACTCGTTGCCTTTTGACTCCCCCAGCTAAATACCTATGCAGAAAAAACCAGCCCTTACGAATGTGGCTTTGACCCAATAGGATCTGCTCGTCTACCCTTTTCCATAAAATTTTTCCTAGTAGCAATTACTTTCCTCCTTTTCCACCTAGAAATTGCTCTCCTGCTCCCCTTACCTTGAGCAATCCAAACAAAAAACCTAACAACAATACTCCTCATGGCCCTATTCCTAATCTCCCTACTGGCAGCTAGCCTAGCCTATGAATGAA</t>
  </si>
  <si>
    <t>TACACCCCGAAAAAGAACAATAAACCTTCTATTAACATTATTAACAAATACAACCCTAGCCCTACTACTTATACTCGTTGCCTTTTGACTCCCCCAGCTAAATACCTATGCAGAAAAAACCAGCCCTTACGAATGTGGCTTTGACCCAATAGGATCTGCTCGTCTACCCTTTTCCATAAAATTTTTCCTAGTAGCAATTACTTTCCTCCTCTTTGACCTAGAAATTGCTCTCCTACTCCCTTTACCTTGAGCAATCCAAACAAATAATCTAACAACAATACTTCCCATGGCCTTATTCCTAATCTCCTTACTAGCAGCTAGCCTAACCTACGAATGAA</t>
  </si>
  <si>
    <t>TACACCCCGAAAAAGAACAATAAACCTTCTATTAACATTATTAACAAATACAACCCTAGCCCTACTACTTATACTCGTTGCCTTTTGACTCCCCCAGCTAAATACCTATGCAGAAAAAACTAGCCCTTATGAGTGTGGCTTTGATCCAATAGGATCTGCTCGTCTACCCTTCTCCATAAAATTCTTCTTAGTTGCAATTACTTTCCTTCTATTTGACCTAGAAATTGCCCTTCTACTTCCCTTGCCTTGAGCAATCCAAACAAATAATTTAACAACAATGCTTCTTATGGCCCTATTCCTAATCTCCCTACTAGCAGCTAGCCTAGCCTATGAATGAA</t>
  </si>
  <si>
    <t>TACACTCCGAAAAAGAACAATAAACTTTCTATTAACATTACTAACAAACACAACCCTAGCCCTACTACTTATACTTATTGCTTTTTGACTCCCCCAACTAAATACCTATGCAGAAAAAACTAGCCCTTACGAATGTGGCTTTGATCCAATAGGATCTGCTCGCCTACCCTTCTCCATAAAATTCTTCTTAGTTGCAATTACTTTCCTTCTATTTGACTTAGAAATTGCCCTTCTACTTCCCTTGCCTTGAGCAATCCAAACAAATAATTTAACAACAATGCTTCTTATGGCCCTATTCCTAATCTCCCTACTAGCAGCTAGCCTAGCCTATGAATGAA</t>
  </si>
  <si>
    <t>TACACTCCGAAAAAGAACAATAAACTTTCTATTAACATTACTAACAAACACAACCCTAGCCCTACTACTTATACTTATCGCTTTTTGACTCCCCCAACTAAACGTCTATGCAGAAAAAACCAGCCCTTACGAATGTGGCTTTGATCCAATAGGATCTGCTCGCCTACCCTTCTCCATAAAATTCTTCTTAGTTGCAATTACTTTCCTTCTATTTGACCTAGAAATTGCCCTTCTACTTCCCTTGCCTTGAGCAATCCAAACAAATAATTTAACAACAATGCTTCTTATGGCCCTATTCCTAATCTCCCTACTAGCAGCTAGCCTAGCCTATGAATGAA</t>
  </si>
  <si>
    <t>TACACCCCGAAAAAGAACAATAAACCTTCTATTAACATTATTAACAAATACAACCCTAGCCCTACTACTTATACTTGTTGCCTTTTGACTCCCCCAACTAAATACCTATGCAGAAAAAACTAGCCCTTACGAATGTGGCTTTGATCCAATAGGATCTGCTCGCCTACCCTTCTCCATAAAATTCTTCTTAGTTGCAATTACTTTCCTTCTATTTGACCTAGAAATCGCCCTTCTACTTCCCTTGCCTTGAGCAATCCAAACAAATAATTTAACAACAATGCTTCTTATGGCCCTATTCCTAATCTCCCTACTAGCAGCTAGCCTAGCCTATGAATGAA</t>
  </si>
  <si>
    <t>TACACCCCGAAAAAGAACAATAAACCTTCTATTAACATTATTAACAAATACAACCCTAGCCCTACTACTTATACTTATTGCTTTTTGACTCCCCCAACTAAATGTCTATGCAGAAAAAACTAGCCCTTACGAATGTGGCTTTGATCCAATAGGATCTGCTCGCCTACCCTTTTCCATAAAATTCTTCCTAGTAGCAATTACTTTCCTCCTCTTTGACCTAGAAATTGCTCTCCTGCTCCCCTTACCTTGAGCAATCCAAACAAATAATCTAACAACAATACGTCTTATGGCCTTATTCCTAATCTCTTTACTAGCAGCTAGCCTAGCCTATGAATGAA</t>
  </si>
  <si>
    <t>TACACTCCGAAAAAGAACAATAAACCTTCTATTAACATTATTAACAAATACAACCCTAGCCCTACTACTTATACTTATTGCCTTTTGACTCCCCCAACTAAATACCTATGCAGAAAAAACTAGCCCTTACGAATGTGGCTTTGATCCAATAGGATCTGCTCGCCTACCCTTCTCCATAAAATTCTTCTTAGTTGCAATTACTTTCCTTCTATTTGACTTAGAAATCGCTCTTCTACTTCCCTTGCCTTGAGCAATCCAAACAAATAATTTAACAACAATACTTCTTATGGCCTTATTCCTAATCTCCCTACTAGCAGCTAGCCTAGCCTATGAATGAA</t>
  </si>
  <si>
    <t>TACACTCCGAAAAAGAACAATAAACTTTCTATTAACATTACTAACAAACACAACCCTAGCCCTACTACTTATACTTATTGCTTTTTGACTCCCCCAACTAAATGTCTATGCAGAAAAAACTAGCCCTTACGAATGTGGCTTTGATCCAATAGGATCTGCTCGCCTACCCTTTTCCATAAAATTCTTCCTAGTAGCAATTACTTTCCTCCTCTTTGACCTAGAAATTGCTCTCCTGCTCCCCTTACCTTGAGCAATCCAAACAAATAACCTAACAACAATACGTCTTATGGCCTTATTCCTAATCTCTTTACTAGCAGCTAGCCTAGCCTATGAATGAA</t>
  </si>
  <si>
    <t>TACACTCCGAAAAAGAACAATAAACTTTCTATTAACGTTACTAACGAATACAACCCTAGCCCTACTACTTATACTTATTGCTTTTTGACTCCCCCAACTAAATGTCTATGCAGAAGAAACTAGCCCTTACGAATGTGGCTTTGATCCAATAGGATCTGCTCGCCTACCCTTTTCCATAAAATTCTTCCTAGTAGCAATTACTTTCCTCCTCTTTGACCTAGAAATTGCTCTCCTGCTCCCCTTACCTTGAGCAATCCAAACAAATAATCTAACAACAATACTTCTTATGGCCTTATTCCTAATCTCTTTACTAGCAGTTAGCCTAGCCTATGAATGAA</t>
  </si>
  <si>
    <t>TACACCCCGAAAAAGAACAATAAACCTTCTATTAACATTATTAACAAATACAACCCTAGCCCTACTACTTATACTTATTGCCTTTTGACTCCCCCAGCTAAATACCTATGCAGAAAAAACTAGCCCTTATGAGTGTGGCTTTGATCCAATAGGATCTGCTCGTCTACCCTTCTCCATAAAATTCTTCTTAGTTGCAATTACTTTCCTTCTATTTGACTTAGAAATCGCTCTTCTACTTCCCTTGCCTTGAGCAATCCAAACAAATAATTTAACAACAATGCTTCTTATGGCCCTATTCCTAATCTCCCTGCTAGCAGCTAGCCTAGCCTATGAATGAA</t>
  </si>
  <si>
    <t>TACACTCCGAAAAAGAACAATAAACTTTCTATTAACATTACTAACAAACACAACCCTAGCCCTACTACTTATACTTGTTGCCTTTTGACTCCCCCAGCTAAATACCTATGCAGAAAAAACTAGCCCTTATGAGTGTGGCTTTGATCCAATAGGATCTGCTCGTCTACCCTTCTCCATAAAATTCTTCTTAGTTGCAATTACTTTCCTTTTATTTGACTTAGAAATCGCTCTTCTACTTCCCTTGCCTTGAGCAATCCAAACAAATAATTTAACAACAATGCTTCTTATGGCCCTATTCCTAATCTCCCTGCTAGCAGCTAGCCTAGCCTATGAATGAA</t>
  </si>
  <si>
    <t>TACACCCCAAAAAAGAACAATAAACCTTCTATTAACGTTACTGACGAATACAACCCTAGCCTTACTACTCATACTTATCGCTTTTTGACTCCCCCAACTAAACGTCTATGCAGAAAAGACTAGCCCTTACGAATGTGGCTTTGATCCAATAGGATCTGCTCGCCTACCCTTCTCCATAAAATTCTTCTTAGTTGCAATTACTTTCCTTCTATTTGACCTAGAAATCGCCCTTCTACTTCCCTTGCCTTGAGCAATCCAAACAAATAATTTAACAACAATGCTTCTTATGGCCCTATTCCTAATCTCCCTACTAGCAGCTAGCCTAGCCTATGAATGAA</t>
  </si>
  <si>
    <t>TACACCCCGAAAAAGAACAATAAGCCTTTTATTAACGTTACTGACGAATACAACCCTAGCCCTACTACTTATACTTATTGCTTTTTGACTCCCCCAACTAAACATCTATGCAGAAAAAACTAGCCCTTACGAATGTGGCTTTGATCCAATAGGATCTGCTCGCCTACCCTTTTCTATAAAATTCTTCCTAGTAGCAATTACTTTTCTCCTCTTTGACCTAGAAATCGCTCTCCTACTCCCCTTACCCTGAGCAATCCAAACAAATAATCTAACAACAATACTTCCCATGGCCTTATTCCTAATCTCCTTACTAGCAGCTAGCCTAGCCTATGAATGAA</t>
  </si>
  <si>
    <t>TACACCCCGAAAAAGAACAATAAACCTTCTATTAACATTATTAACAAATACAACCCTAGCCCTACTACTTATACTTATTGCTTTTTGACTCCCCCAACTAAATGTCTATGCAGAAAAAACTAGCCCTTACGAATGTGGCTTTGATCCAATAGGATCTGCTCGCCTACCCTTTTCCATAAAATTCTTCCTAGTAGCAATTACTTTCCTCCTCTTTGACCTAGAAATTGCTCTCCTGCTCCCCTTACCTTGAGCAATCCAAACAAATAATCTAACAACAATACTTCCCATGGCCTTATTCCTAATCTCCTTACTAGCAGCTAGCCTAACCTACGAATGAA</t>
  </si>
  <si>
    <t>TACACCCCAAAAAAGAACAATAAACCTTCTATTAACGTTACTGACGAATACAACCCTAGCCTTACTACTCATACTTATCGCTTTTTGACTCCCCCAACTAAACGTCTATGCAGAAAAAACTAGCCCTTACGAATGTGGCTTTGATCCAATAGGATCTGCTCGCCTACCCTTCTCCATAAAATTCTTCTTAGTTGCAATTACTTTCCTTCTATTTGACCTAGAAATTGCCCTTCTACTTCCCTTGCCTTGAGCAATCCAAACAAATAATTTAACAACAATGCTTCTTATGGCCCTATTCCTAATCTCCCTACTAGCAGCTAGCCTAGCCTATGAATGAA</t>
  </si>
  <si>
    <t>TACACTCCGAAAAAGAACAATAAACCTTCTATTAACATTACTAACAAATACAACCCTAGCCCTACTACTTATACTCATTGCTTTTTGACTCCCCCAACTAAACGTCTATGCAGAAAAAACCAGCCCTTACGAATGTGGCTTTGACCCAATAGGATCTGCTCGTCTACCCTTTTCCATAAAATTTTTCCTAGTAGCAATTACTTTCCTCCTCTTTGACCTAGAAATTGCTCTCCTACTCCCTTTACCTTGAGCAATCCAAACAAATAACCTAACAACAATACTCCTCATGGCCCTATTCCTGATCTTCCTACTGGCAGCTAGCCTAGCCTATGAATGAA</t>
  </si>
  <si>
    <t>TACACCCCGAAAAAGAACAATAAACCTTCTATTAACATTATTAACAAATACAACCCTAGCCCTACTACTTATACTTATTGCCTTTTGACTCCCCCAACTAAATACCTATGCAGAAAAAACCAGCCCTTACGAATGTGGCTTTGATCCAATAGGATCTGCTCGCCTACCTTTTTCCATAAAATTTTTCCTAGTAGCAATTACTTTTCTCCTCTTTGACCTAGAAATCGCTCTCCTACTCCCCTTACCCTGAGCAATCCAAACAAATAATCTAACAACAATACTTCCCATGGCCTTATTCCTAATCTCCTTACTAGCAGCTAGCCTAACCTACGAATGAA</t>
  </si>
  <si>
    <t>TGCACCCCGAAAAAGAACTAGAAATCTCCTACTAACACTATTAACAAATACAACTCTAGCCTTACTACTCGTATTTATCGCTTTTTGACTCCCTCAGCTAAATGTATACGTGGAAAAAACAAGTCCCTACGAATGTGGTTTCGACCCAATAGGGTCCGCTCGCCTACCCTTCTCCATAAAATTCTTCCTAGTAGCAATTACTTTCCTCCTCTTTGACCTAGAAATCGCCCTCCTACTCCCTCTACCCTGAGCAACCCAAACAAATAATCTAACAACAATACTTCCCATGGCCTTATTCCTAATCTCCTTACTAGCAGCTAGCCTAACCTACGAATGAA</t>
  </si>
  <si>
    <t>TACACTCCGAAAAAGAACAATAAACTTTCTATTAACATTACTAACAAACACAACCCTAGCCCTACTACTTATACTTATTGCTTTTTGACTCCCCCAACTAAACATCTATGCAGAAAAAACTAGCCCTTACGAGTGTGGCTTTGATCCAATAGGATCTGCTCGCCTACCCTTCTCCATAAAATTTTTCCTAGTAGCAATTACTTTCCTCCTATTTGACCTAGAAATTGCTCTCCTGCTCCCCTTACCCTGAGCAATCCAAACAAATAATTTAACAACAATACTTCCCATGGCCTTATTCCTAATCTCCTTACTAGCAGCTAGCCTAACCTACGAATGAA</t>
  </si>
  <si>
    <t>TACACCCCGAAAAAGAACAATAAACCTTCTATTAACATTATTAACAAATACAACCCTAGCCCTACTACTTATACTTATTGCCTTTTGACTCCCCCAACTAAACGTCTATGCAGAAAAAACCAGCCCTTACGAATGTGGCTTTGATCCAATAGGATCTGCTCGCCTACCTTTTTCCATAAAATTTTTCCTAGTAGCAATTACTTTCCTCCTCTTCGACCTAGAAATTGCTCTCCTGCTCCCCTTACCTTGAGCAATCCAAACAAATAACCTAACAACAATACTCCTTATGGCCCTATTCCTAATCTCCTTACTAGCAGCTAGCCTAACCTACGAATGAA</t>
  </si>
  <si>
    <t>TACACTCCGAAAAAGAACAATAAACTTTCTATTAACATTACTAACAAACACAACCCTAGCCCTACTACTTATACTTATTGCTTTTTGACTCCCCCAACTAAACGTCTATGCAGAAAAAACCAGCCCTTACGAATGTGGCTTTGACCCAATAGGATCTGCTCGTCTACCCTTTTCCATAAAATTTTTCCTAGTAGCAATTACTTTCCTCCTCTTTGACCTAGAAATTGCTCTCCTACTCCCTTTACCTTGAGCAATCCAAACAAATAACCTAACAACAATACTCCTCATGGCCCTATTCCTAATCTCCCTACTGGCAGCTAGCCTAGCCTATGAATGAACCCAAAAAGGCCTAGAATGAA</t>
  </si>
  <si>
    <t>TACACCCCAAAAAAGAACAATAAACCTTCTATTAACGTTACTGACGAATACAACCCTAGCCTTACTACTCATACTTATCGCTTTTTGACTCCCCCAACTAAACGTCTATGCAGAAAAGACTAGCCCTTACGAATGTGGCTTTGACCCAATAGGATCTGCTCGCCTACCCTTTTCCATAATTTTTTTTCTAGTAGCAATTATTTTCCTCCTCTTTGACCTAGAAATTGCTCTCCTACTCCCCTTACCTTGAGTAATCCAAACAAATAATCTAACAACAATACTTCCCATGGCCTTATTCCTAATCTCCTTACTAGCAGCTAGCCTAACCTACGAATGAA</t>
  </si>
  <si>
    <t>TGCACCCCGAAAAAGAACAATAAATCTCCTACTAACACTATTAACAAATACAACTCTAGCCTTACTACTTGTATTTATCGCTTTCTGACTCCCTCAGCTAAACGTATACGCGGAAAAAACAAGTCCCTACGAATGTGGTTTCGACCCAATAGGGTCCGCTCGCCTACCTTTCTCCATAAAATTCTTCCTAGTAGCAATTACTTTCCTCCTCTTTGACCTAGAAATCGCCCTCCTACTCCCCCTACCCTGAGCAACCCAAACAAATAACCTAAAAATAATACTCACTATGACCCTATTCTTAATCTCCCTACTAGCAGCTAGCCTAGCCTACGAATGAA</t>
  </si>
  <si>
    <t>TACACTCCGAAAAAGAACAATAAACCTTCTATTAACGTTACTAACGAATACAACCCTAGCCCTACTACTTATACTTATTGCTTTTTGACTCCCCCAACTAAATGTCTATGCAGAAAAAACTAGCCCTTACGAATGTGGCTTTGATCCAATAGGATCTGCTCGCCTACCCTTTTCCATAAAATTCTTCCTAGTAGCAATTACTTTCCTCCTCTTCGACCTAGAAATTGCTCTCTTACTCCCCTTACCTTGAGCAATCCAAACAAATAATCTAACAACAATACTTCTTTCGGCTTTACTCCTAATCTCCCTACTAGCAGCTAGCCTAGCCTACGAGTGAA</t>
  </si>
  <si>
    <t>TACACTCCGAAAAAGAACAATAAACTTTCTATTAACATTACTAACAAACACAACCCTAGCCCTACTACTTATACTTATCGCTTTTTGACTCCCCCAACTAAACGTCTATGCAGAAAAAACCAGCCCTTACGAATGTGGCTTTGATCCAATAGGATCTGCTCGCCTACCCTTCTCCATAAAATTCTTCTTAGTTGCAATTACTTTCCTTCTATTTGACTTAGAAATCGCTCTTCTACTTCCCTTGCCTTGAGCAATCCAAACAAATAATTTAACAACAATGCTTCTTATGGCCCTATTCCTAATCTCCCTGCTAGCAGCTAGCCTAGCCTATGAATGAA</t>
  </si>
  <si>
    <t>TACACTCCGAAAAAGAACAATAAACTTTCTATTAACGTTACTAACGAATACAACCCTAGCCCTACTACTTATACTTATTGCTTTTTGACTCCCCCAACTAAACGTCTACGCGGAAAAAACTAGCCCTTACGAGTGCGGATTTGATCCAATAGGATCTGCTCGCCTACCCTTTTCCATAAAATTCTTCCTAGTAGCAATTACTTTCCTCCTCTTCGACCTAGAAATTGCTCTCTTACTCCCCTTACCTTGAGCAATCCAAACAAATAATCTAACAACAATACTTCTTTCGGCTTTACTCCTAATCTCCCTACTAGCAGCTAGCCTAGCCTACGAGTGAA</t>
  </si>
  <si>
    <t>TACACTCCGAAAAAGAACAATAAACTTTCTATTAACATTACTAACAAACACAACCCTAGCCCTACTACTTATACTTATTGCTTTTTGACTCCCCCAACTAAACATCTATGCAGAAAAAACTAGCCCTTACGAATGTGGCTTTGATCCAATAGGATCTGCTCGCCTACCCTTTTCTATAAAATTCTTCCTAGTAGCAATTACTTTTCTCCTCTTTGACCTAGAAATCGCTCTCCTACTCCCCTTACCCTGAGCAATCCAAACAAATAATCTAACAACAATACTTCCCATGGCCTTATTCCTGATCTTCCTACTGGCAGCTAGCCTAGCCTATGAATGAA</t>
  </si>
  <si>
    <t>TACACTCCGAAAAAGAACAATAAACCTTCTATTAACATTACTAACAAATACAACCCTAGCCCTACTACTTATACTCATTGCTTTTTGACTCCCCCAACTAAACGTCTATGCAGAAAAAACCAGCCCTTACGAATGTGGCTTTGATCCAATAGGATCTGCTCGCCTACCTTTTTCCATAAAATTTTTCCTAGTAGCAATTACTTTCCTCCTCTTCGACCTAGAAATTGCTCTCCTGCTCCCCTTACCTTGAGCAATCCAAACAAATAACCTAACAACAATACTCCTTATGGCCCTATTCCTAATCTCCCTACTGGCAGCTAGCCTAGCCTATGAATGAA</t>
  </si>
  <si>
    <t>TACACTCCGAAAAAGAACAATAAACCTTCTATTAACGTTACTAACGAATACAACCCTAGCCCTACTACTTATACTTATTGCTTTTTGACTCCCCCAACTAAATGTCTATGCAGAAAAAACTAGCCCTTACGAATGTGGCTTTGATCCAATAGGATCTGCTCGCCTACCCTTCTCCATAAAATTCTTCTTAGTTGCAATTACTTTCCTTCTATTTGACCTAGAAATCGCCCTTCTACTTCCCTTGCCTTGAGCAATCCAAACAAATAATTTAACAACAATGCTTCTTATGGCCCTATTCCTAATCTCCCTACTAGCAGCTAGCCTAGCCTATGAATGAA</t>
  </si>
  <si>
    <t>TACACTCCGAAAAAGAACAATAAACCTTCTATTAACATTACTAACAAATACAACCCTAGCCCTACTACTTATACTCATTGCTTTTTGACTCCCCCAACTAAACGTCTATGCAGAAAAAACCAGCCCTTACGAATGTGGCTTTGACCCAATAGGATCTGCTCGTCTACCCTTTTCCATAAAATTTTTCCTAGTAGCAATTACTTTCCTCCTCTTTGACCTAGAAATTGCTCTCCTACTCCCTTTACCTTGAGCAATCCAAACAAATAACCTAACAACAATACTCCTCATGGCCCTATTCCTAATCTCCCTACTGGCAGCTAGCCTAGCCTATGAATGAA</t>
  </si>
  <si>
    <t>TACACCCCAAAAAAGAACAATAAACCTTCTATTAACGTTACTGACGAATACAACCCTAGCCTTACTACTCATACTTATCGCTTTTTGACTCCCCCAACTAAACGTCTATGCAGAAAAGACTAGCCCTTACGAATGTGGCTTTGATCCAATAGGATCTGCTCGCCTACCCTTCTCCATAAAATTCTTCTTAGTTGCAATTACTTTCCTTCTATTTGACTTAGAAATCGCTCTTCTACTTCCCTTGCCTTGAGCAATCCAAACAAATAATTTAACAACAATGCTTCTTATGGCCCTATTCCTAATCTCCCTGCTAGCAGCTAGCCTAGCCTATGAATGAA</t>
  </si>
  <si>
    <t>TACACCCCAAAAAAGAACAATAAACCTTCTATTAACGTTACTGACGAATACAACCCTAGCCTTACTACTCATACTTATCGCTTTTTGACTACCCCAACTAAACGTCTATGCAGAAAAAACTAGCCCTTACGAATGTGGCTTTGATCCAATAGGATCTGCTCGCCTACCCTTTTCTATAAAATTCTTCCTAGTAGCAATTACTTTTCTCCTCTTTGACCTAGAAATCGCTCTCCTACTCCCCTTACCCTGAGCAATCCAAACAAATAATCTAACAACAATACTTCCCATGGCCTTATTCCTAATCTCCTTACTAGCAGCTAGCCTAACCTACGAATGAA</t>
  </si>
  <si>
    <t>TACACCCCAAAAAAGAACAATAAACCTTCTATTAACGTTACTGACGAATACAACCCTAGCCTTACTACTCATACTTATCGCTTTTTGACTCCCCCAACTAAACGTCTATGCAGAAAAGACCAGCCCTTACGAATGTGGCTTTGACCCAATAGGATCTGCTCGCCTACCCTTTTCCATAAAATTTTTTCTAGTAGCAATTACTTTCCTCCTCTTTGACCTAGAAATTGCTCTCCTGCTCCCCTTACCTTGAGTAATCCAAACAAATAATCTAACAACAATACTCCTTATGGCCCTATTCCTAATCTCCCTACTAGCAGCTAGCCTAGCCTATGAATGAA</t>
  </si>
  <si>
    <t>TGCACCCCGAAAAAGAACAATAAATCTCCTACTAACACTATTAACAAATACAACTCTAGCCTTACTACTTGTATTTATCTCTTTCTGACTCCCTCAGCTAAACGTATACGCGGAAAAAACAAGTCCCTACGAATGTGGTTTCGACCCAATAGGGTCCGCTCGCCTACCTTTCTCCATAAAATTCTTCCTAGTAGCAATTACTTTCCTCCTCTTTGACCTAGAAATCGCCCTCCTACTCCCCCTACCCTGAGCAACCCAAACAAATAATCTAAAAATAATACTCACTGTGACCCTATTCTTAATCTCCCTACTAGCAGCTAGCCTAGCCTACGAATGAA</t>
  </si>
  <si>
    <t>TACACTCCGAAAAAGAACAATAAACCTTCTATTAACGTTACTAACGAATACAACCCTAGCCCTACTACTTATACTTATTGCCTTTTGACTCCCCCAACTAAATACCTATGCAGAAAAAACTAGCCCTTACGAATGTGGCTTTGATCCAATAGGATCTGCTCGCCTACCCTTCTCCATAAAATTCTTCTTAGTTGCAATTACTTTCCTTCTATTTGACTTAGAAATCGCTCTTCTACTTCCCTTGCCTTGAGCAATCCAAACAAATAATTTAACAACAATGCTTCTTATGGCCCTATTCCTAATCTCCCTGCTAGCAGCTAGCCTAGCCTATGAATGAA</t>
  </si>
  <si>
    <t>TACACTCCGAAAAAGAACAATAAACTTTCTATTAACGTTACTAACGAATACAACCCTAGCCCTACTACTTATACTTATTGCTTTTTGACTCCCCCAACTAAATGTCTATGCAGAAGAAACTAGCCCTTACGAATGTGGCTTTGATCCAATAGGATCTGCTCGCCTACCCTTTTCCATAAAATTCTTCCTAGTAGCAATTACTTTCCTCCTCTTTGACCTAGAAATTGCTCTCCTGCTCCCCTTACCTTGAGCAATCCAAACAAATAATCTAACAACAATACGTCTTATGGCCTTATTCCTAATCTCTTTACTAGCAGCTAGCCTAGCCTATGAATGAA</t>
  </si>
  <si>
    <t>TACACCCCAAAAAAGAACAATAAACCTTCTATTAACGTTACTGACGAATACAACCCTAGCCTTACTACTCATACTTATCGCTTTTTGACTCCCCCAACTAAACGTCTATGCAGAAAAGACCAGCCCTTACGAATGTGGCTTTGACCCAATAGGATCTGCTCGCCTACCCTTTTCCATAAAATTTTTTCTAGTAGCAATTATTTTCCTCCTCTTTGACCTAGAAATTGCTCTCCTACTCCCCTTACCTTGAGTAATCCAAACAAATAATCTAACAACAATACTCCTTATGGCCCTATTCCTAATCTCCCTACTAGCAGCTAGCCTAGCCTATGAATGAA</t>
  </si>
  <si>
    <t>TGCACCCCGAAAAAGAACTATAAATCTCCTACTAACACTATTAACAAATACAACTCTAGCCTTACTACTCGTATTTATCGCTTTTTGACTCCCTCAGCTAAATGTATACGGGGAAAAAACAAGTCCCTACGAATGTGGTTTTGACCCAATAGGGTCCGCTCGCCTACCCTTCTCCATAAAATTCTTCCTGGTAGCAATTACTTTCCTCCTCTTTGACCTAGAAATCGCCCTCCTACTCCCTCTACCCTGAGCAACCCAAACAAATAACCTAAAAATAATACTCACTATGACCCTATTCTTAATCTCCCTACTAGCAGCTAGCCTAGCCTATGAATGAA</t>
  </si>
  <si>
    <t>TGCACCCCGAAAAAGAACTAGAAATCTCCTACTAACACTATTAACAAATACAACTCTAGCCTTACTACTCGTATTTATCGCTTTTTGACTCCCTCAGCTAAATGTATACGCGGAAAAAACAAGTCCCTACGAATGTGGTTTCGACCCAATAGGGTCCGCTCGCCTACCCTTCTCCATAAAATTCTTCCTAGTAGCAATTACTTTCCTCCTCTTTGACCCAGAAATCGCCCTCCTACTCCCTCTACCCTGAGCAACCCAAACAAATAACCTAAAAATAATACTCACTATGACCCTATTCTTAATCTCCCTACTAGGAGCTAGCCTAGCCTACGAATGAA</t>
  </si>
  <si>
    <t>TACACTCCGAAAAAGAACAATAAACTTTCTATTAACATTACTAACAAACACAACCCTAGCCCTACTACTTATACTTATTGCTTTTTGACTCCCCCAACTAAACATCTATGCAGAAAAAACTAGCCCTTACGAATGTGGCTTTGATCCAATAGGATCTGCTCGCCTACCCTTTTCTATAAAATTCTTCCTAGTAGCAATTACTTTCCTCCTCTTTGACCTAGAAATTGCTCTCCTGCTCCCCTTACCTTGAGCAATCCAAACAAATAATCTAACAACAATACTTCTTATGGCCTTATTCCTAATCTCTTTACTAGCAGTTAGCCTAGCCTATGAATGAA</t>
  </si>
  <si>
    <t>TACACTCCGAAAAAGAACAATAAACTTTCTATTAACATTACTAACAAACACAACCCTAGCCCTACTACTTATACTTATTGCTTTTTGACTCCCCCAACTAAACGTCTATGCAGAAAAAACCAGCCCTTACGAATGTGGCTTTGACCCAATAGGATCTGCTCGTCTACCCTTTTCCATAAAATTTTTCCTAGTAGCAATTACTTTCCTCCTTTTCCACCTAGAAATTGCTCTCCTGCTCCCCTTACCTTGAGCAATCCAAACAAAAAACCTAACAACAATACTCCTCATGGCCCTATTCCTAATCTCCCTACTGGCAGCTAGCCTAGCCTATGAATGAA</t>
  </si>
  <si>
    <t>TACACCCCAAAAAAGAACAATAAACCTTCTATTAACGTTACTGACGAATACAACCCTAGCCTTACTACTCATACTTATCGCTTTTTGACTCCCCCAACTAAACATCTATGCAGAAAAAACTAGCCCTTACGAATGTGGCTTTGATCCAATAGGATCTGCTCGCCTACCCTTTTCTATAAAATTCTTCCTAGTAGCAATTACTTTTCTCCTCTTTGACCTAGAAATCGCTCTCCTACTCCCCTTACCCTGAGCAATCCAAACAAATAATCTAACAACAATACTTCCCATGGCCTTATTCCTAATCTCCTTACTAGCAGCTAGCCTAACCTACGAATGAA</t>
  </si>
  <si>
    <t>TGCACCCCGAAAAAGAACAATAAATCTCCTACTAACACTATTAACAAATACAACTCTAGCCTTACTACTTGTATTTATCGCTTTCTGACTCCCTCAGCTAAACGTATACGCGGAAAAAACAAGTCCCTACAAATGTGGTTTCGACCCAATAGCGTCCGCTCGCCTACCCTTCTCCATAAAATTCTTCCTAGTAGCAATTACTTTCCTCCTCTTTGACCTAGAAATCGCCTCCTACTCCCCCTACCCTGAGCAACCCAAACAAATAACCTAAAAATAATACTCCCTATGACCCTATTCTTAATCTCCCTACTAGCAGCTAGCCTAGCCTACGAATGAA</t>
  </si>
  <si>
    <t>TACACTCCGAAAAAGAACAATAAACTTTCTATTAACATTACTAACAAACACAACCCTAGCCCTACTACTTATACTTATTGCTTTTTGACTCCCCCAACTAAACATCTATGCAGAAAAAACTAGCCCTTACGAATGTGGCTTTGATCCAATAGGATCTGCTCGCCTACCCTTTTCTATAAAATTCTTCCTAGTAGCAATTACTTTCCTTCTATTTGACCTAGAAATCGCCCTTCTACTTCCCTTGCCTTGAGCAATCCAAACAAATAATTTAACAACAATGCTTCTTATGGCCCTATTCCTAATCTCCCTACTAGCAGCTAGCCTAGCCTATGAATGAA</t>
  </si>
  <si>
    <t>TGCACCCCGAAAAAGAACTAGAAATCTCCTACTAACACTATTAACAAATACAACTCTAGCCTTACTACTCGTATTTATCGCTCTTTGACTCCCTCAGCTAAATGTATACGCGGAAAAAACAAGTCCCTACGAATGTGGTTTCGACCCAATAGGGTCCGCTCGCCTACCCTTCTCCATAAAATTCTTCCTAGTAGCAATTACTTTCCTCCTCTTTGACCTAGAAATCGCCCTCCTACTCCCTCTACCCTGAGCAACCCAAACAAATAACCTAAAAATAATACTCACTATGACCCTATTCTTAATCTCCCTACTAGGAGCTAGCCTAGCCTACGAATGAA</t>
  </si>
  <si>
    <t>TACACTCCGAAAAAGAACAATAAACTTTCTATTAACATTACTAACAAACACAACCCTAGCCCTACTACTTATACTTATTGCTTTTTGACTCCCCCAACTAAACATCTATGCAGAAAAAACTAGCCCTTACGAATGTGGCTTTGATCCAATAGGATCTGCTCGCCTACCCTTTTCTATAAAATTCTTCCTAGTAGCAATTACTTTCCTCCTCTTTGACCTAGAAATCGCCCTCCTACTCCCCCTACCCTGAGCAACCCAAACAAATAACCTAAAAATAATACTCACTATGACCCTATTCTTAATCTCCCTACTAGCAGCTAGCCTAGCCTACGAATGAA</t>
  </si>
  <si>
    <t>TACACCCCGAAAAAGAACAATAAACCTTCTATTAACGCTACTAACGAACACAATCGTAGCCTTACTGCTCATACTTATCGCTTTTTGACTCCCCCAACTAAATGTCTATGCAGAAAAAACCAGCCCTTACGAATGTGGCTTTGACCCAATAGGATCTGCTTGCCTACCTTTTTCCATAAAATTCTTCCTAGTAGCAATTACTTTCCTCCTCTTCGACCTAGAAATTGCCCTCCTGCTCCCCTTACCTTGAGCAATCCAAACAAATAACTTAACAACAATACTCCTTATGGCCCTATTCCTAATCTCCCTACTAGCAGCTAGCCTAGCCTATGAATGAA</t>
  </si>
  <si>
    <t>TACACTCCGAAAAAGAACAATAAACCTTCTATTAACATTACTAACAAATACAACCCTAGCCCTACTACTTATACTCATTGCTTTTTGACTCCCCCAACTAAATACCTATGCAGAAAAAACTAGCCCTTACGAGTGTGGCTTTGATCCAATAGGATCTGCTCGCCTACCCTTCTCCATAAAATTCTTCTTAGTTGCAATTACTTTCCTTCTATTTGACTTAGAAATCGCTCTTCTACTTCCCTTGCCTTGAGCAATCCAAACAAATAATTTAACAACAATGCTTCTTATGGCCCTATTCCTAATCTCCCTGCTAGCAGCTAGCCTAGCCTATGAATGAA</t>
  </si>
  <si>
    <t>TACACCCCAAAAAAGAACAATAAACCTTCTATTAACGCTACTAACGAACACAACCCTAGCCTTACTGCTCATACTTATCGCTTTTTGACTCCAACTAAATGTCTATGCAGAAAAAAACAGCCCTTACGAATGTGGCTTTGACCCAATAGGATCTGCTTGCCTACCTTTTTCCATAAAATTTTTCCTAGTAGCAATTACTTTCCTCCTCTTCGACCTAGAAATTGCCCTCCTGCTCCCCTTACCTTGAGCAATCCAAACAAATAACTTAACAACAATACTCCTTATGGCCCTATTCCTAATCTCCCTACTAGCAGCTAGCCTAGCCTATGAATGAA</t>
  </si>
  <si>
    <t>TACACCCCGAAAAAGAACAATAAGCCTTTTATTAACGTTACTGACGAATACAACCCTAGCCTTACTACTCATACTTACTGCTTTTTGACTCCCCCAACTAAACGTCTATGCAGAAAAAACCAGCCCTTACGAATGTGGCTTTGACCCAATAGGATCTGCTCGTCTACCCTTTTCCATAAAATTTTTCCTAGTAGCAATTACTTTCCTCCTCTTTGACCTAGAAATTGCTCTCCTACTCCCTTTACCTTGAGCAATCCAAACAAATAACCTAACAACAATACTCCTCATGGCCCTATTCCTAATCTCCCTACTGGCAGCTAGCCTAGCCTATGAATGAACCCAAAAAGGCCTAGAATGAA</t>
  </si>
  <si>
    <t>TACACCCCAAAAAAGAACAATAAACCTTCTATTAACGTTACTGACGAATACAACCCTAGCCTTACTACTCATACTTATCGCTTTTTGACTCCCCCAACTAAACGTCTATGCAGAAAAGACTAGCCCTTACGAATGTGGCTTTGACCCAATAGGATCTGCTCGCCTACCCTTTTCCATAATTTTTTTTCTAGTAGCAATTATTTTCCTCCTCTTTGACCTAGAAATTGCTCTCCTACTCCCCTTACCTTGAGTAATCCAAACAAATAATCTAACAACAATACTCCTTATGGCCCTATTCCTAATCTCCCTACTAGCAGCTAGCCTAGCCTATGAATGAA</t>
  </si>
  <si>
    <t>TACACTCCGAAAAAGAACAATAAACCTTCTATTAACGTTACTAACGAATACAACCCTAGCCCTACTACTTATACTTATTGCTTTTTGACTCCCCCAACTAAACATCTATGCAGAAAAAACTAGCCCTTACGAATGTGGCTTTGATCCAATAGGATCTGCTCGCCTACCCTTTTCTATAAAATTCTTCCTAGTAGCAATTACTTTTCTCCTCTTTGACCTAGAAATCGCTCTCCTACTCCCCTTACCCTGAGCAATCCAAACAAATAATCTAACAACAATACTTCCCATGGCCTTATTCCTAATCTCCTTACTAGCAGCTAGCCTAACCTACGAATGAA</t>
  </si>
  <si>
    <t>TACACTCCGAAAAAGAACAATAAACCTTCTATTAACATTACTAACAAATACAACTCTAGCCCTACTACTTATACTTATTGCCTTTTGACTCCCTCAACTAAATACCTATGCAGAAAAAACTAGCCCTTACGAATGTGGCTTTGATCCAATAGGATCTGCTCGCCTACCCTTCTCCATAAAATTCTTCCTAGTTGCAATTACTTTCCTCCTATTTGACCTAGAAATTGCTCTCCTACTTCCCTTGCCTTGAGCAATCCAAACAAATAATTTAACAACAATACTTTTTATGGCCTTATTCCTAATCTCCCTACTAGCAGCTAGCCTAGCCTATGAATGAA</t>
  </si>
  <si>
    <t>TACACCCCGAAAAAGAACAATAAGCCTTTTATTAACGTTACTGACGAATACAACCCTAGCCTTACTACTCATACTTACTGCTTTTTGACTCCCCCAACTAAACGTCTATGCAGAAAAAACCAGCCCTTACGAATGTGGCTTTGACCCAATAGGATCTGCTCGTCTACCCTTTTCCATAAAATTTTTCCTAGTAGCAATTACTTTCCTCCTCTTTGACCTAGAAATTGCTCTCCTACTCCCTTTACCTTGAGCAATCCAAACAAATAACCTAACAATAATACTCCTCATGGCCCTATTCCTAATCTCCCTACTGGCAGCTAGCCTAGCCTATGAATGAA</t>
  </si>
  <si>
    <t>TACACCCCGAAAAAGAACAATAAGCCTTTTATTAACGTTACTGACGAATACAACCCTAGCCTTACTACTCATACTTACTGCTTTTTGACTCCCCCAACTAAACGTCTATGCAGAAAAAACCAGCCCTTACGAATGTGGCTTTGACCCAATAGGATCTGCTCGTCTACCCTTTTCCATAAAATTTTTCCTAGTAGCAATTACTTTCCTCCTCTTTGACCTAGAAATTGCTCTCCTACTCCCTTTACCTTGAACAATCCAAACAAATAACCTAACAACAATACTCCTCATGGCCCTATTCCTAATCTCCCTACTGGCAGCTAGCCTAGCCTATGAATGAA</t>
  </si>
  <si>
    <t>TGCACCCTGAAAAAGAACAATAAATCTCCTACTAACACTATTAACAAATACAACTCTAGCCTTACTACTTGTATTTATCGCTTTCTGACTCCCTCAGCTAAACGTATACGCGGAAAAAACAAGTCCCTACGAATGTGGTTTCGACCCAATAGGGTCCGCTCGCCTACCTTTCTCCATAAAATTCTTCCTAGTAGCAATTACTTTCCTCCTCTTTGACCTAGAAATCGCCCTCCTACTCCCCCTACCCTGAGCAACCCAAACAAATAACCTAAAAATAATACTCACTATGACCCTATTCTTAATCTCCCTACTAGCAGCTAGCCTAGCCTACGAATGAA</t>
  </si>
  <si>
    <t>TACACTCCGAAAAAGAACAATAAACCTTCTATTAACGTTACTAACGAATACAACCCTAGCCCTACTACTTATACTTATTGCTTTTTGACTCCCCCAACTAAATGTCTATGCAGAAAAAACTAGCCCTTACGAATGTGGCTTTGATCCAATAGGATCTGCTCGCCTACCCTTTTCCATAAAATTCTTCCTAGTAGCAATTACTTTCCTCCTCTTTGACCTAGAAATTGCTCTCCTGCTCCCCTTACCTTGAGCAATCCAAACAAATAATCTAACAACAATACTTCTTATGGCCTTATTCCTAATCTCTTTACTAGCAGTTAGCCTAGCCTATGAATGAA</t>
  </si>
  <si>
    <t>TACACCCCGAAAAAGAACAATAAGCCTTTTATTAACGTTACTGACGAATACAACCCTAGCCTTACTACTCATACTTACTGCTTTTTGACTCCCCCAACTAAACGTCTATGCAGAAAAAACCAGCCCTTACGAATGTGGCTTTGACCCAATAGGATCTGCTCGTCTACCCTTTTCCATAAAATTTTTCCTAGTAGCAATTACTTTCCTCCTCTTTGACCTAGAAATTGCTCTCCTACTCCCTTTACCTTGAGCAATCCAAACAAATAACCTAACAACAATACTCCTCATGGCCCTATTCCTGATCTTCCTACTGGCAGCTAGCCTAGCCTATGAATGAA</t>
  </si>
  <si>
    <t>TGCACCCCGAAAAAGAACAATAAATCTCCTACTAACACTATTAACAAATACAACTCTAGCCTTACTACTTGTATTTATCGCTTTCTGACTCCCTCAGCTAAACGTATACGCGGAAAAAACAAGTCCCTACGAATGTGGTTTCGACCCAATAGGGTCCGCTCGCCTACCTTTCTCCATAAAATTCTTCCTAGTAGCAATTACTTTCCTCCTCTTTGACCTAGAAATCGCCCTCCTACTCCCCCTACCCTGAGCAACCCAAACAAATAATCTAAAAATAATACTCACTGTGACCCTATTCTTAATCTCCCTACTAGCAGCTAGCCTAGCCTACGAATGAA</t>
  </si>
  <si>
    <t>TACACCCTGTAAAAGAACAATAAACCTTCTATTAACGCTACTGACGAACACAACCCTAGCCTTACTACTCATACTTATCGCTTTTTGACTCCCCCAACTAAACGTCTATGCAGAAAAAAACAGCCCTTACAAATGTGGCTTTGACCCAATAGGATCTGCTCGTCTACTCTTTTCCATAAAATTTTTCCTAGTAGCAATTACTTTCCTCCTTTTCCACCTAGAAATTGCTCTCCTGCTCCCCTTACCTTGAGCAATCCAAACAAAAAACCTAACAACAATACTCCTCATGGCCCTATTCCTAATCTCCCTACTGGCAGCTAGCCTAGCCTATGAATGAA</t>
  </si>
  <si>
    <t>TACACCCTGTAAAAGAACAATAAACCTTCTATTAACGCTACTGACGAACACAACCCTAGCCTTACTACTCATACTTATCGCTTTTTGACTCCCCCAACTAAACGTCTATGCAGAAAAAAACAGCCCTTACGAATGTGGCTTTGACCCAATAGGATCTGCTCGTCTACCCTTTTCCATAAAATTTTTCCTAGTAGCAATTACTTTCCTCCTTTTCCACCTAGAAATTGCTCTCCTGCTCCCCTTACCTTGAGCAATCCAAACAAAAAACCTAACAACAATACTCCTCATGGCCCTATTCCTAATCTCCCTACTGGCAGCTAGCCTAGCCTATGAATGAA</t>
  </si>
  <si>
    <t>TACACTCCGAAAAAGAACAATAAACCTTCTATTAACATTACTAACAAATACAACCCTAGCCCTACTACTTATACTCATTGCTTTTTGACTCCCCCAACTAAATACCTATGCAGAAAAAACTAGCCCTTACGAATGTGGCTTTGATCCAATAGGATCTGCTCGCCTACCCTTTTCCATAAAATTCTTCCTAGTAGCAATTACTTTCCTCCTATTTGACCTAGAAATTGCTCTCCTGCTCCCCTTACCCTGAGCAATCCAAACAAATAATTTAACAACAATACTTCTTATGGCCTTATTCCTAATCTCTCTACTAGCAGCTAGCCTAGCCTATGAGTGAA</t>
  </si>
  <si>
    <t>TACACCCCAAAAAAGAACAATAAACCTTCTATTAACGTTACTGACGAATACAACCCTAGCCTTACTACTCATACTTATCGCTTTTTGACTACCCCAACTAAACGTCTATGCAGAAAAGACTAGCCCTTACGAATGTGGCTTTGACCCAATAGGATCTGCTCGCCTACCCTTTTCCATAAAATTTTTTCTAGTAGCAATTATTTTCCTCCTCTTTGACCTAGAAATTGCTCTCCTACTCCCCTTACCTTGAGTAATCCAAACAAATAATCTAACAACAATACTCCTTATGGCCCTATTCCTAATCTCCCTACTAGCAGCTAGCCTAGCCTATGAATGAA</t>
  </si>
  <si>
    <t>TACACCCCGAAAAAGAACAATAAACCTTCTATTAACATTATTAACAAATACAACCCTAGCCCTACTACTTATACTTGTTGCCTTTTGACTCCCCCAGCTAAATACCTATGCAGAAAAAACTAGCCCTTATGAGTGTGGCTTTGATCCAATAGGATCTGCTCTTCTACCCTTCTCCATAAAATTCTTCTTAGTTGCAATTACTTTCCTTTTATTTGACCTAGAAATTGCTCTCCTACTTCCCCTACCTTGAGCAATCCAAACAAATAATTTAACAACAATACTTCTTATGGCCTTATTCCTAATCTCCCTACTAGCAGCTAGCCTAGCCTATGAATGAA</t>
  </si>
  <si>
    <t>TACACCCCAAAAAAGAACAATAAACCTTCTATTAACGTTACTGACGAATACAACCCTAGCCTTACTACTCATACTTATCGCTTTTTGACTCCCCCAACTAAACGTCTATGCAGAAAAGACCAGCCCTTACGAATGTGGCTTTGACCCAATAGGATCTGCTTGCCTACCCTTTTCCATAAAATTTTTTCTAGTAGCAATTACTTTCCTCCTCTTTGACCTAGAAATTGCTCTCCTACTCCCCTTACCTTGAGTAATCCAAACAAATAATCTAACAACAATACTCCTTATGGCCCCATTCCTAATCTCCCTACTAGCAGCTAGCCTAGCCTATGAATGAA</t>
  </si>
  <si>
    <t>TACACTCCGAAAAAGAACAATAAACTTTCTATTAACGTTACTAACGAATACAACCCTAGCCCTACTACTTATACTTATTGCTTTTTGACTCCCCCAACTAAATGTCTATGCAGAAGAAACTAGCCCTTACGAATGTGGCTTTGATCCAATAGGATCTGCTCGCCTACCCTTTTCCATAAAATTCTTCCTAGTAGCAATTACTTTCCTCCTCTTTGACCTAGAAATTGCTCTCCTGCTCCCCTTACCTTGAGCAATCCAAACAAATAACCTAACAACAATACGTCTTATGGCCTTATTCCTAATCTCTTTACTAGCAGCTAGCCTAGCCTATGAATGAA</t>
  </si>
  <si>
    <t>TACACCCCGAAAAAGAACAATAAACCTTCTATTAACGCTACTAACGAACACAACCCTAGCCTTACTGCTCATACTTATCGCTTTTTGACTCCAACTAAACGTCTATGCAGAAAAAAACAGCCCTTACGAATGTGGCTTTGACCCAATAGGATCTGCTTGCCTACCTTTTTCCATAAAATTTTTCCTAGTAGCAATTACTTTCCTCCTCTTCGACCTAGAAATTGCCCTCCTGCTCCCCTTACCTTGAGCAATCCAAACAAATAACTTAACAACAATACTCCTTATGGCCCTATTCCTAATCTCCCTACTAGCAGCTAGCCTAGCCTATGAATGAA</t>
  </si>
  <si>
    <t>TACACCCCAAAAAAGAACAATAAACCTTCTATTAACGTTACTGACGAATACAACCCTAGCCTTACTACTCATACTTATCGCTTTTTGACTACGCCAACTAAACGTCTATGCAGAAAAGACTAGCCCTTACGAATGTGGCTTTGACCCAATAGGATCTGCTCGCCTACCCTTTTCCATAAAATTTTTTCTAGTAGCAATTATTTTCCTCCTCTTTGACCTAGAAATTGCTCTCCTACTCCCCTTACCTTGAGTAATCCAAACAAATAATCTAACAACAATACTCCTTATGGCCCTATTCCTAATCTCCCTACTAGCAGCTAGCCTAGCCTATGAATGAA</t>
  </si>
  <si>
    <t>TGCACCCCGAAAAAGAACTAGAAATCTCCTACTAACACTATTAACAAATACAACTCTAGCCTTACTACTCGTATTTATCGCTTTTTGACTCCCTCAGCTAAATGTATACGTGGAAAAAACAAGTCCCTACGAATGTGGTTTCGACCCAATAGGGTCCGCTCGCCTACCCTTCTCCATAAAATTCTTCCTAGTAGCAATTACTTTCCTCCTCTTTGACCTAGAAATCGCCCTCCTACTCCCTCTACCCTGAGCAACCCAAACAAATAACCTAAAAATAATACTCACTATGACCCTATTCTTAATCTCCCTACTAGGAGCTAGCCTAGCCTACGAATGAA</t>
  </si>
  <si>
    <t>TACACCCCGAAAAAGAACAATAAACCTTCTATTAACGTTACTGACGAATACAACCCTAGCCTTACTGCTCATACTTATCGGTTTTTGACTCCCCCAACTAAACGTCTATGCAGAAAAAACCAGCCCTTACGAATGTGGCTTTGACCCAATAGGATCTGCTCGCCTACCTTTTTCCATAAAATTTTTCCTAGTAGCAATTACTTTCCTCCTCTTCGACCTAGAAATTGCCCTCCTGCTCCCCTTACCTTGAGCAATCCAAACAAATAACTTAACAACAATACTCCTTATGGCCCTATTCCTAATCTCCCTACTAGCAGCTAGCCTAGCCTATGAATGAA</t>
  </si>
  <si>
    <t>TACACCCCGAAAAAGAACAATAAACCTTCTATTAACATTATTAACAAATACAACCCTAGCCCTACTACTTATACTTATTGCCTTTTGACTCCCCCAACTAAATACCTATGCAGAAAAAACTAGCCCTTACGAATGTGGCTTTGATCCAATAGGATCTGCTCGCCTACCCTTCTCCATAAAATTCTTCTTAGTTGCAATTACTTTCCTTCTATTTGACCTAGAAATCGCCCTTCTACTTCCCTTGCCTTGAGCAATCCAAACAAATAATTTAACAACAATGCTTCTTATGGCCCTATTCCTAATCTCCCTACTAGCAGCTAGCCTAGCCTATGAATGAA</t>
  </si>
  <si>
    <t>TACACCCCGAAAAAGAACAATAAACCTTCTATTAATGCTACTGACGAACACAACCCTAGCCTTACTACTCATACTTATCGCTTTTTGACTCCCCCAACTAAACGTCTATGCAGAAAAAACCAGCCCTTACGAATGTGGCTTTGATCCAATAGGATCTGCTCGCCTACCTTTTTCCATAAAATTTTTCCTAGTAGCAATTACTTTCCTCCTCTTCGACCTAGAAATTGCTCTCCTGCTCCCCTTACCTTGAGCAATCCAAACAAATAACCTAACAACAATACTCCTTATGGCCCTATTCCTAATCTCCCTACTGGCAGCTAGCCTAGCCTATGAATGAA</t>
  </si>
  <si>
    <t>TACACCCTGTAAAAGAACAATAAACCTTCTATTAACGCTACTGACGAACACAACCCTAGCCTTACTACTCATACTTATCGCTTTTTGACTCCCCCAACTAAACGTCTATGCAGAAAAAAACAGCCCTTACGAATGTGGCATTGACCCAATAGGATCTGCTCGTCTACCCTTTTCCATAAAATTTTTCCTAGTAGCAATTACTTTCCTCCTTTTCCACCTAGAAATTGCTCTCCTGCTCCCCTTACCTTGAGCAATCCAAACAAAAAACCTAACAACAATACTCCTCATGGCCCTATTCCTAATCTCCCTACTGGCAGCTAGCCTAGCCTATGAATGAA</t>
  </si>
  <si>
    <t>TACACCCCGAAAAAGAACAATAAGCCTTTTATTAACGTTACTGACGAATACAACCCTAGCCTTACTACTCATACTTACTGCTTTTTGACTCCCCCAACTAAACGTCTATGCAGAAAAAACCAGCCCTTACGAATGTGGCTTTGACCCAATAGGATCTGCTCGTCTACCCTTTTCCATAAAATTTTTCCTAGTAGCAATTACTTTCCTCCTCTTTGACCTAGAAATTGCTCTCCTACTCCCTTTACCTTGAGCAATCCAAACAAATAACCTAACAACAATACTCCTCATGGCCCTATTCCTAATCTCCCTACTGGCAGCTAGCCTAGCCTATGAATGAA</t>
  </si>
  <si>
    <t>TACACCCCGAAAAAGAACAATAAACCTTCTATTAACATTATTAACAAATACAACCCTAGCCCTACTACTTATACTTATTGCCTTTTGACTCCCCCAACTAAATACCTATGCAGAAAAAACTAGCCCTTACGAATGTGGCTTTGATCCAATAGGATCTGCTCGCCTACCCTTCTCCATAAAATTCTTCTTAGTTGCAATTACTTTCCTTCTATTTGACCTAGAAATCGCTCTTCTACTTCCCTTGCCTTGAGCAATCCAAACAAATAATTTAACAACAATGCTTCTTATGGCCCTATTCCTAATCTCCCTACTAGCAGCTAGCCTAGCCTATGAATGAA</t>
  </si>
  <si>
    <t>TACACCCCGAAAAAGAACAATAAACCTTCTATTAACATTATTAACAAATACAACCCTAGCCCTACTACTTATACTTATTGCCTTTTGACTCCCCCAACTAAATACCTATGCAGAAAAAACTAGCCCTTACGAATGTGGCTTTGATCCAATAGGATCTGCTCGCCTACCCTTCTCCATAAAATTCTTCTTAGTTGCAATTACTTTCCTTCTATTTGACCTAGAAATTGCCCTTCTACTTCCCTTGCCTTGAGCAATCCAAACAAATAATTTAACAACAATGCTTCTTATGGCCCTATTCCTAATCTCCCTACTAGCAGCTAGCCTAGCCTATGAATGAA</t>
  </si>
  <si>
    <t>TACACCCCGAAAAAGAACAATAAACCTTCTATTAACATTATTAACAAATACAACCCTAGCCCTACTACTTATACTCGTTGCCTTTTGACTCCCCCAGCTAAATACCTATGCAGAAAAAACTAGCCCTTATGAGTGTGGCTTTGATCCAATAGGATCTGCTCGTCTACCCTTCTCCATAAAATTCTTCTTAGTTGCAATTACTTTCCTTTTATTTGACCTAGAAATTGCTCTCCTACTTCCCCTACCTTGAGCAATCCAAACAAATAATTTAACAACAATACTTCTTATGGCCTTATTCCTAATCTCCCTACTAGCAGCTAGCCTAGCCTATGAATGAA</t>
  </si>
  <si>
    <t>TATACCCCGAAAAAGAACAATAAACCTTCTATTAACCCTACTAACGAATACAACCCTAGCCCTACTACTTATACTTATTGCTTTTTGACTCCCCCAACTAAACGTCTACGCGGAAAAAACTAGCCCTTACGAGTGCGGATTTGATCCAATAGGATCTGCTCGCCTACCCTTTTCCATAAAATTCTTCCTAGTAGCAATTACTTTCCTCCTCTTCGACCTAGAAATTGCTCTCTTACTCCCCTTACCTTGAGCAATCCAAACAAATAATCTAACAACAATACTTCTTTCGGCTTTACTCCTAATCTCCCTACTAGCAGCTAGCCTAGCCTACGAGTGAA</t>
  </si>
  <si>
    <t>TACACCCCGAAAAAGAACAATAAACCTTCTATTAACATTATTAACAAATACAACCCTAGCCCTACTACTTATACTTGTTGCCTTTTGACTCCCCCAGCTAAATACCTATGCAGAAAAAACTAGCCCTTATGAGTGTGGCTTTGATCCAATAGGATCTGCTCGTCTACCCTTCTCCATAAAATTCTTCTTAGTTGCAATTACTTTCCTTTTATTTGACCTAGAAATTGCTCTCCTACTTCCCCTACCTTGAGCAATCCAAACAAATAATTTAACAACAATACTTCTTATGGCCTTATTCCTAATCTCCCTACTAGCAGCTAGCCTAGCCTATGAATGAA</t>
  </si>
  <si>
    <t>TACACCCCGAAAAAGAACAATAAACCTTCTATTAACATTATTAACAAATACAACCCTAGCCCTACTACTTATACTTATTGCCTTTTGACTCCCCCAACTAAATACCTATGCAGAAAAAACTAGCCCTTACGAATGTGGCTTTGATCCAATAGGATCTGCTCGCCTACCCTTCTCCATAAAATTCTTCTTAGTTGCAATTACTTTCCTTCTATTTGACTTAGAAATCGCTCTTCTACTTCCCTTGCCTTGAGCAATCCAAACAAATAATTTAACAACAATGCTTCTTATGGCCCTATTCCTAATCTCCCTGCTAGCAGCTAGCCTAGCCTATGAATGAA</t>
  </si>
  <si>
    <t>TACACTCCGAAAAAGAACAATAAACCTTCTATTAACATTACTAACAAATACAACCCTAGCCCTACTACTTATACTCATTGCTTTTTGACTCCCCCAACTAAATACCTATGCAGAAAAAACTAGCCCTTACGAGTGTGGCTTTGATCCAATAGGATCTGCTCGCCTACCCTTCTCCATAAAATTTTTCCTAGTAGCAATTACTTTCCTCCTATTTGACCTAGAAATTGCTCTCCTGCTCCCCTTACCCTGAGCAATCCAAACAAATAATTTAACAACAATACTTCTTATGGCCTTATTCCTAATCTCTCTACTAGCAGCTAGCCTAGCCTATGAGTGAA</t>
  </si>
  <si>
    <t>TACACTCCGAAAAAGAACAATAAACTTTCTATTAACATTACTAACAAACACAACCCTAGCCCTACTACTTATACTTATTGCTTTTTGACTCCCCCAACTAAACATCTATGCAGAAAAAACTAGCCCTTACGAATGTGGCTTTGATCCAATAGGATCTGCTCGCCTACCCTTTTCTATAAAATTCTTCCTAGTAGCAATTACTTTTCTCCTCTTTGACCTAGAAATCGCTCTCCTACTCCCCTTACCCTGAGCAATCCAAACAAATAATCTAACAACAATACTTCCCATGGCCTTATTCCTAATCTCCTTACTAGCAGCTAGCCTAACCTACGAATGAA</t>
  </si>
  <si>
    <t>CACCTCAGTCATACGATTGACCCAAATTAATAGGAAACCTGGGTAAAGCATGTTAAAGAGTAATAAAAAATAAAGTTAAATTCTAACTGAGCCGTAAAAAGCCACAACTAAAATAAAAATAAATTACAAAAGTGACTTTAGTATTTCCCAATTACATGACAGCTAAGAC</t>
  </si>
  <si>
    <t>CACCGCGGTTATACGAGAGGCCCAAGTTGACAGACACCGGCGTAAAGCGTGGTTAAGGTATACCAAAACTAAAGCCGAACACCTTCAGGGCAGTTATACGCATCCGAAGGCACGAAGCCCCACCACGAAAGTGGCTTTATGAACCCTGACCCCACGAAAGCTATGACA</t>
  </si>
  <si>
    <t>CACCGCGGTTATACGAAAGGCCCGAGTTGATGGTCACCGGCGTAAAGAGTGATTATAGCATGTTAAAATAACTAAAGCCAAAGCCCTTCCCGGCTGTCATACGCACCCGAAGGCATGAGGCCCCTACACGAAAGTAGCTTTAACCACAAGACCCCTAGAACTCACGACAGCCAAGACA</t>
  </si>
  <si>
    <t>CACCGCGGTCATACAATTGACTCAAATTAATAGACATCCGGCGTCAAGAGTGTCAAGGAATAATACAAAATAAAGTCAAACCTTAATTAAGCTGTAAAAAGCCATAATTAAAATTAAGTTAAACCACAAAAGTGACTTTACTATAATCTGAGTACACGATAACTAAGACC</t>
  </si>
  <si>
    <t>CACCTCAGTCATACGATTAACCCAAATTAATAAAAATATGGTGTAAGGCGTGTTAAAGAGTTACATAAAATAAAGTTTTAATTAAGTCATAAAAAGCCGTAACTAAAATAAAAGTAGACTATGAAAGTGACTTCAGTATTTCCTGACC</t>
  </si>
  <si>
    <t>CACCAGCAGCCATAGATTGACCCGAATTAATAGAATTATGGTGTCAAGCGTGTTAAAGAATTATCCAAGATAAAGTTAAACCTAAATTAAGCTGTAAAAAGCCATAATTACAGTAAAAATAAACTGTGAAAGTGACTTTAACATATCCTGATCACACAACAGCTAAGACC</t>
  </si>
  <si>
    <t>CACCGCGGCCATAGGATTAACCCGAGCTAATAGAGCTCGGTATAAAGAGTGTTTAAGGTCTGCCCTCAATAAAGCTAAACTCCAACGAAGTTGTAAAAAACTTCAGCTGAAATAAAATATACTATGAAAGTGGCTTTAATACCCTGAAGACACAATAGCTAAGACC</t>
  </si>
  <si>
    <t>CACCGCGGTCATACGATTGGCCCAAATTAATAGACACCCGGCGTAAAGAGTGTCAAGGAGCAATACAAAAGTAAAGTCAAGCCTTAATTAAGCTGTAAAAAGCCATAATCAAAATGAAGTTAAACTACGAAAGTAACTTTATCATAAACTGAGTACACGACAACTAAGACC</t>
  </si>
  <si>
    <t>CACCGCCGTCATACGATTGACCCAAATTAATAGAGACCCGGCGTAAAGAGTGTTAAGGAACCATACAAAATAAAGTCAAATCCCAATTAAGCTGTAAAAAGCCATAATTAAAACTAAGCCAAACCACGAAAGTGACATTAGTACAATCTGAATACACGACAATTAAGACC</t>
  </si>
  <si>
    <t>CACCGCGATCATACGATTGATCCAAATTAATAGCAATACGGCATAAGCGTGATAAAGAATAATACAAAATAAAGTTAAACCTTGATTAAGCTGTAAAGAGCCCTAACTAAAGTAAAAATAGACTACGAAAGTGACTTTAACATACCCTGATTACATGATAGCTAAGACC</t>
  </si>
  <si>
    <t>CACCGGGGTTCTACGATTGACCCGAATTAATAGAACTACAGGGTAAAGCGTGTTGAAGAACCATACAAGATAAAGTTAAACCTTAATTAAGCTGTAAAAAGCCATAATTAAAATTAAGTTAAACTACGAAAGTAACTTTACCATAAACCGAGTACACGATAACTAAGACC</t>
  </si>
  <si>
    <t>CACCGCGGTCATACGATTGACCCAAATTAATAGAGACCCAGCGTAAAGAGTGTTAAGGAATCACACAAAATAAAGTCAAATCCTAATTAAGCTGTAAAAAGCCATAATTAAAACTAAGCCAAACCACGAAAGTGACTTTAGTACAATCTGAATACATGACAACTGAGACC</t>
  </si>
  <si>
    <t>CACCACGGTCATACGATTGACCCAAGTTAATAGAAATACGGCGTAAAGCGTGTTAAAGAGTAATACAAAATAAAGTTAAATCTTAATTTAGCTATAAAAAGCCATAATTAAAGTAAAAGTCGACTACGAAAGTGACTTTAGCATATCCTGATTACACGACAGCTAAGGCC</t>
  </si>
  <si>
    <t>CACCGCGGTCATATGATTGACCCAAATTAACAGACACCCGGCGTAAAGAGTGTCAAGGAGCCAATACAAAAATAAAGTCAAGCCTTAATTAAGCTGTAAAAAGCCATAATTAAAATGAAGTTAAACTACGAAAGTAACTTTACCATAAACCGAGTACACGATAACTAAGACC</t>
  </si>
  <si>
    <t>CACAGGGTCACACGATCAACCCAAGTTAATAGAAATACCGGGTAAAGTGTGTTAAAGAGTAATGCAAAATAAAGTTAAATTTTAGTTAAGCTGTAAAAAGCCATAATTAAAGTAAAAATAGACTACAAAACTGACTTTAGCACATCCTGGTTACACGACAGCTAAGACC</t>
  </si>
  <si>
    <t>CACCACGATCAAACGATTAACCCAAATTAATAGAAATTCAGTGGAAAGCGTGTTAAAGAGTAACGTAAAGTTAAATTTTAATTAAGCTGTAAAAAGCCATAGCTCAAATAAAAATAGACTACGAAAGTGACTTTAGTATTTCCTAATTACACGACAGCTAAGACC</t>
  </si>
  <si>
    <t>CACCGCGGTCATACTATTGACCCAAATTAATAGAGACCCGGCCTAAAGAGTGTTAAGGAATCACACAAAATAAAGTAAAATCCTAATTAAGCTGTAAAAAGCCATAATTAAAACTAAGCCAAACCACGAAAGTGACTTTAGTACAATCTGAGTACATGACAACTGAGACC</t>
  </si>
  <si>
    <t>CACCGCGGTCGTATGATTGACCCAAATTAACAGACACCCGGCGTAAAGAGTGTCAAGGAGCAATACAAAAATAAAGTCAAGCCTTAATTAAGCTGTAAAAAGCCATAATTAAAATTAAGTTAAACTACGAAAGTAACTTTATCATAAACTGAGTACACGACAACTAAGACC</t>
  </si>
  <si>
    <t>CACCGCGGTCATACGATTGGCCCAAATTAATAGACACCCGGCGTAAAGAGTGTCAAGGAGCAATACAAAAATAAAGTCAAGCCTTAATTAAGCTGTAAAAAGCCATAACCAAAATGAAGTTAAACTACGAAAGTAACTTTATCATAAACTGAGTACACGACAACTAAGACC</t>
  </si>
  <si>
    <t>CACCGCGGTCATACGATTGACCCAAATTAAGAGAGACCCAGCGTAAAGAGTGTTAAGGAATCACACAAAATAAAGTCAAATCCTAATTAAGCTGTAAAAAGCCATAATTAAAACTAAGCCAAACCACGAAAGTGACTTTAGTACAATCTGAATACATGACAACTGAGACC</t>
  </si>
  <si>
    <t>CACCGGGGTTCTACGATTGACCCGAATTAATAGAACTACAGGGTAAAGCGTGTTGAAGAACCATACAAGATAAAGTTAAACCTTAATTAAGCTGTAAAAAGCCATAATTAAAATTAAGTTAAACTACGAAAGTAACTTTACCATAAACTGAGTACACGACAACTAAGACC</t>
  </si>
  <si>
    <t>CACCGTGGTCATATGACTGACCCAAATTAATAGAGACACGGCGTAAAGAGTGTTAAGGAATCATACAAAATAAAGTCAAATCCCAATTAAGCTGTAAAAAGCCATAATTAAAACTAAGCTAAACCACGAAAGTGACATTAGTACAATCTGAGTACACGACAACTAAGACC</t>
  </si>
  <si>
    <t>CACCGGGGTTCTACGATTGACCCGAATTAATAGAACTACAGGGTAAAGCATGTTGAAGAACCATACAAGATAAAGTTAAACCTTAATTAAGCTGTAAAAAGCCATAATTAAAACAAAAATAAACGACGAAAGTGACTTTAATATATTCTGATCACACGATAGCTAAGACC</t>
  </si>
  <si>
    <t>CACCGCAGTCATACAACTGACCCAAATTAATAGAGACCCGGCGTAAAGAGCGTTAAGGAATCACACAGAATAAAGTCAAATCTTAATTAAGCTGTAAAAAGCCATAATTAAAACTAAGCTAAACCACGAAAGTGACTTTAATACAATCTGACTACATGACAGCTAAGACC</t>
  </si>
  <si>
    <t>CACCGGGGTTATACGATTGACCCGAATTAATAGAACTACAGGGTAAAGCGTGTTAAAGAACCATACAAGATAAAGTTAAACCTTAACTAAGCTGTAAAAAGCCATAATTAAAACAAAAATAAACGACGAAAGTGACTTTAATATATTCTGATCACACGATAGCTATGACC</t>
  </si>
  <si>
    <t>CACCTCGGTCATACGATTAACCCAAGTTAATAGAAATACATCTTAAAGCGTGTTAAAGAGTAATACAAAATAAAGTTAAATTTTAATTAAGCTGTAAAAAGCCGTAATTAAAGTAAAGATAGACTAAGAAAGTGACTTTAGCACGTCCTGATTACATGACAGCTACGACC</t>
  </si>
  <si>
    <t>CACCACGGTCATACGATTGACCCAAATTAATAGAGACCCGGCGTAAAGAGTGTTAAGGAATCACACAAAATAAAGTAAAATCCTAATTAAGCTGTAAAAAGCCATAATTAAAACTAAGCCAAACCACGAAAGTGACTTTAGTACAATCTGAGTACATGACAACTGAGACC</t>
  </si>
  <si>
    <t>CACCAGCAGCCATAGATTGACCCGAATTAATAGATTTATGGCGTCAAGCGTGTTAAAGAATTATCCAAGATAAAGTTAAACCTTAATTAAGCTGTAAAAAGCCATAATTACAGTAAAAATAAACTGTGAAAGTGACTTTAACATATCCTGATCACACAACAGCTAAGACC</t>
  </si>
  <si>
    <t>CACCGCGGTTATACGAGAGACCCTAGTTGATATACTCGGCGTAAAGAGTGGTTATGGAAAACAAGCACTAAAGCCAAAGAGCCCTCAGGCCGTTATACGCACCCGGGGCCTCGAACCACTATCACGAAAGTAGCTTTACCCTCGCCCACCAGAACCCACGAGAGCTGGGACA</t>
  </si>
  <si>
    <t>CACCGCGATCATACAATTGATCCAAATTAATAGCAATACGGCATAAGCGTGATAAAGAATAATACAAAATAAAGTTAAACCTTGATTAAGCTGTAAAGAGCCCTAACTAAAGTAAAAATAGACTACGAAAGTGACTTTAACATACCCTGATTACATGATAGCTAAGACC</t>
  </si>
  <si>
    <t>CACAGGGTCATATGATCAACCCAAGTTAATAGAAATACCGCGTAAAGCGTGTTAAAGAGTAATGCAAAATAAAGTTAAATTTTAGTTAAGCTGTAAAAAGCCATAATTAAAGTAAAAATAGACTACAAAACTGACTTTAGCACATCCTGGTTACACGACAGCTAAGACC</t>
  </si>
  <si>
    <t>CACCGCGGTTATACGAGAGACCCAAGTTGTTAGACACCGGCGTAAAGAGTGGTTAAGTTAAAACCTTTTACTAAAGCCAAACATCTTCAAGACTGTTATACGTAACCGAAGACAGGAAGTTCAACCACGAAAGTGACTTTATCTAATCTGAATCCACGAAAGCTACGGAA</t>
  </si>
  <si>
    <t>CACCGCGGCCATACGATTGACCCGAATTAATAGAATTATGGCATAAAGCATGTTAAAGAATTATACAAGATAAAGTTAAACCTTAATTAAGCTGTAAAAAGCCATAATTAAAGTAAAAATAAACTACGAAAGTGACTTTAACATATCCTGATCACACGATAGCTAAGACC</t>
  </si>
  <si>
    <t>CACAGGGTCATACGATCAACCCAAGTTAATAGAAATACCGTGTAAAGTGTGTTAAAGAGTAATGCAAAATAAAGTTAAATTTTAGTTAAGCTGTAAAAAGCCATAATTAAAGTAAAAATAGACTACAAAACTGACTTTAGCACATCCTGGTTACACGACAGCTAAGACC</t>
  </si>
  <si>
    <t>CACCGCGGTCATACGATTGACCCAAACTAATAGACACCCGGCGTAAAGAGTGTCAAAGAACAATATAAAAATAAAGTCAAACCTTAATTAAGCTGTAAAAAGCCATAATTAAAATTAAGTTAAACTACGAAAGTAACTTTACCATAAACTGAGTACATGACAACTAAGACC</t>
  </si>
  <si>
    <t>CACCGCGGTCGTATGATTGACCCAAATTAACAGACACCTGGCGTAAAGAGTGTCAAGGAGCAATACAAAAATAAAGTCAAGCCTTAATTAAGCTGTAAAAAGCCATAATTAAAATTAAGTTAAACTACGAAAGTAACTTTATCATAAACTGAGTACACAACAACTAAGACC</t>
  </si>
  <si>
    <t>CACCGCGGTCATATGATTGACCCAAATTAATAGAACTACGGCGTAAAGCGTGTTAAAGAACCATACAATATAGTTAAACCTTAATTAAGCTGTAAAAAACCATAATTAAAATAAAAATCAACTACTAAAGTGACTTTAACATATTCTGATCACACGATAGCTAAAACC</t>
  </si>
  <si>
    <t>CACCGCGATCATACGATTGATCCAAATTAATAGCAATACGGCATAAGCGTGATAAAGAATAATACAAAATAAAGTTAAACCTTGATTAAGCTGTAAAGAGCCCTAACTAAAGTAAAAATAGACTACGAAAGTGACTTTAACATACCCTGATTACAAGATAGCTAAGACC</t>
  </si>
  <si>
    <t>CACAGGGTCATACGATCAACCCAAGTTAATAGAAATACCGCGTAAAGTGTGTTAAAGAGTAATGCAAAATAAAGTTAAATTTTAGTTAAGCTGTAAAAAGCCATAATTAAAGTAAAAATAGACTACAAAACTGACTTTAGCACATCCTGGTTACACGACAGCTAAGACC</t>
  </si>
  <si>
    <t>CACCGCGATCATACAATTGATCCAAATTAATAGCAATACGGCATAAGCGTGATAAAGAATAATACAAAATAAAGTTAAACCTTGATTAAGCTGTAAAGAGCCCTAACTGAAGTAAAAATAGACTACGAAAGTGACTTTAACATACCCTGATTACATGATAGCTAAGACC</t>
  </si>
  <si>
    <t>CACCGCGGTCATACGATTGACCCAAATTAATAGACACCCGGCATAAAGAGTGTCAAGGAGCAATACAAAAATAAAGCCAAACCTTAATTAAGCTGTAAAAAGCCATAATTAAAATTAAGTTAAACTACGAAAGTAACTTTACCATAAACTGAATACACGACAACTAAGACC</t>
  </si>
  <si>
    <t>CACCGCGGTCATACGATTGACCCAAATTAATAGACACCCGGCGTAAAGAGTGTCAAAGAACGATATAAAAATAAAGTCAAACCTTAATTAAGCTGTAAAAAGCCATAATTAAAATTAAGTTAAACTACGAAAGTAACTTTACCATAAACTGAATACACGACAACTAAGACC</t>
  </si>
  <si>
    <t>CACCGCGGTTAGACGAATGACCCAAGTTGACAGAATACGGCGTAAAGGGTGGTTAGGGAATATTAATACTAAAGCCGAACACCTTCCAAGCTGTTATACGCTTATGAAGAACTGAAGCACAACTACGAAAGTGGCTTTAAAACACCTGAACCCACGAAAGCTAAGAAA</t>
  </si>
  <si>
    <t>CACCGCGGTCATTTGATAAACCTAAATTAATAGAAAACCTGCATAAAGCATGTGACAGAATAAGTTTTCAAAAAGTTAAATTCTAACTAAGCCATAAAAAGCCATAGCTAAAATAAAAATAAACTACCAGTGACTTTAATATTTCCTGATTACATGACAGCTAAGACT</t>
  </si>
  <si>
    <t>CACCAGCAGCCATAGATTGACCCAAATTAATAGAATTATGGCGTCAAGCGTGTTAAAGAATTATCCAAGATAAAGTTAAACCTTAATTAAGCTGTAAAAAGCCATAATTACAGTAAAAATAAACTGTGAAAGTGACTTTAACATATCCTGATCACACAACAGCTAAGACC</t>
  </si>
  <si>
    <t>CACCTCAGTCATACGATTAACCCAAATTAATACAAATATGGTGTAAGGCGTGTTAAAGAGTTACATAAAATAAAGTTTTAATTAAGTCATAAAAAGCCGTAACTAAAATAAAAGTAGACTATGAAAGTGACTTTAGTATTTCCTGACC</t>
  </si>
  <si>
    <t>CACCGGGGTTCTACGATTGACCCGAATTAATAGAACTACAGGGTAAAGCGTGTTGAAGAACCATACAAGATAAAGTTAAACCTTAATTAAGCTGTAAAAAGCCATAATTAAAACAAAAATAAACGACGAAAGTGACTTTAATATATTCTGATCACACGATAGCTAAGACC</t>
  </si>
  <si>
    <t>CACCGCGGTCATATGATTGACCCAAATTAACAGACACCCGGCGTAAAGAGTGTCAAGGAGCAATACAAAAATAAAGTCAAGCCTTAATTAAGCTGTAAAAAGCCATAATTAAAATTAAGTTAAACTACGAAAGTAACTTTACCATAAACCGAGTACACGATAACTAAGACC</t>
  </si>
  <si>
    <t>CACCGCGGTCATACGATTGACCCAAGTTAATAGACACCCGGCGTAAAGATTGTCAAGGAACAATACAAAAATAAAGTCAAACCTTAATTAAGCTGTAAAAAGCCATAATTAAAATTAAGTTAAACTACGAAAGTAACTTTACCATAAACTGAGTACACGACAACTAAGACC</t>
  </si>
  <si>
    <t>CACCGCGGTCATACGATTGACCCAAATTAATAGACACCCGGCGTAAAGAGTATCAAGGAACAATACAAAAATAAAGTCAAACCTTAATTAAGCTGTAAAAAGCCATAATTAAAATTAAGTTAAACTACGAAAGTAACTTTACCATAAACTGAGTACACGACAACTAAGACC</t>
  </si>
  <si>
    <t>CACCGTGGTCATACGATTGACCTGAATTAATAGAATTATGGTGTAAAGCGTGTTAAAGAATTATACAAAATAAAATTAAACCTTGATTAAGCTGTAAAAAGCCATAATTAAAGTAAAAATAAACTACGAAAGTGACTTTAACATATCCTGATTACACGATAGCTAAGACC</t>
  </si>
  <si>
    <t>CACCGGGGTTATACGATTGACCCGAATTAATAGAACTACAGGGTAAAGCGTGTTAAAGAACCATACAAGATAAAGTTAAACCTTAACTAAGCTGTAAAAAGCCATAATTAAAACAAAAATAAACGACGAAAGTGACTTTAATATATTCTGATCACACGATAGCTAAGACC</t>
  </si>
  <si>
    <t>CACCGCGGTCATACGATTGACCCAAATTAATAGACACCCGGCATAAAGAGTGTCAAGGAGCAATACAAAAATAAAGCCAAACCTTAATTAAGCTGTAAAAAGCCATAATTAAAATTAAGTTAAACTACGAAAGTAACTTTACCATAAACTGAGTACACGACAACTAAGACC</t>
  </si>
  <si>
    <t>CACCGCGGTCATACGATTGACCCAAATTAATAGACACCTGGCGTAAAGAGTGTCAAGGAGCAATACAAAAATAAAGTCAAACCTTAATTAAGCTGTAAAAAGCCATAATTAAAATTAAGTTAAACTACGAAAGTAACTTTACCATAAACTGAATACACGACAACTAAGACC</t>
  </si>
  <si>
    <t>CACAGCGGTGATACGATTGACCCAAATTAATAGACACCCGGCGTAAAGAGTGTCAAGGAACGATATAAAAATAAAGTCAAACCTTAATTAAGCTGTAAAAAGCCATAATTAAAATTAAGTTAAACTACGAAAGTAACTTTACCATAAACTGAGTACACGACAACTAAGACC</t>
  </si>
  <si>
    <t>CACCGCGATCATACGATCGACCCAAATGAATAGCAATACGGCATAAAGCGTGATAAAGAATAATACAAAATAAAGTTAAACCTTGATTAAGCTGTAAAGAGCCCTAACTAAAAATAGACTACGAAAGTGACTTTAACATACCCTGATTACATGATGGCTAAGACC</t>
  </si>
  <si>
    <t>CACCGCGGTCATACGATTGACCCAAATTAATAGATACCCGGCGTAAAGAGTGTCAAAGAACGATATAAAAATAAAGTCAAACCTTAATTAAGCTGTAAAAAGCCATAATTAAAATTAAGTTAAACTACGAAAGTAACTTTACCATAAACTGAGTACACGACAACTAAGACC</t>
  </si>
  <si>
    <t>CACCGCGGTCATATGATTGACCCAAATTAACAGACACCCGGCGTAAAGAGTGTCAAGGAGCCAATACAAAAATAAAGTCAAGCCTTAATTAAGCTGTAAAAAGCCATAATTAAAATGAAGTTAAACTACGAAAGTAACTTTATCATAAACTGAGTACACGACAACTAAGAGC</t>
  </si>
  <si>
    <t>CACCGCGGTCATACGATTGACCCAAATTAATAGACACCCGGCGTAAAGAGTATCAAGGAACAATACAAAAATAAAGTCAAACCTTAATTAAGCTGTAAAAAGCCATAATTAAAATTAAGTTAAACTACGAAAGTAACTTTACCATAAACTGAATACACGACAACTAAGACC</t>
  </si>
  <si>
    <t>CACCGTGGTCATACGACTGACCCAAATTAATAGAGACACGGCGTAAAGAGTGTTAAGGAATCATACAAAATAAAGTCAAATCCCAATTAAGCTGTAAAAAGCCATAATTAAAACTAAGCTAAACCACGAAAGTGACATTAGTACAATCTGAGTACACGACAACTAAGACC</t>
  </si>
  <si>
    <t>CACCGCGGTCATACGATTGACCCAAATTAATAAATACCCGGCGTAAAGAGTGTCAAAGAACGATATAAAAATAAAGTCAAACCTTAATTAAGCTGTAAAAAGCCATAATTAAAATTAAGTTAAACTACGAAAGTAACTTTACCATAAACTGAGTACACGACAACTAAGACC</t>
  </si>
  <si>
    <t>CACAGCGGTCATACGATTGACCCAAATTAATAGACACCCGGCGTAAAGAGTGTCAAGGAACGATATAAAAATAAAGTCAAACCTTAATTAAGCTGTAAAAAGCCATAATTAAAATTAAGTTAAACTACGAAAGTAACTTTACCATAAACTGAGTACACGACAACTAAGACC</t>
  </si>
  <si>
    <t>CACCGCGGTTATACGAGAGACCCTAGTTGATATACTCGGCGTAAAGAGTGGTTATGGAAAACAAGCACTAAAGCCAAAGAGCCCTCAGGCCGTTATACGCACCCGGGGCCTCGAGCCACTATCACGAAAGTAGCTTTACCCTCGCCCACCAGAACCCACGAGAGCTGGGACA</t>
  </si>
  <si>
    <t>CACCGCGGTCATACGATTGACCCAAATTAATAGACATCCGGCGTAAAGAGTGTCAAAGAGCAGTATAAAAATAAAGTCAAACCTTAATTAAGCTGTAAAAAGCCATAATTAAAATTAAGTTAAACTACGAAAGTAACTTTATCATAAACTGAGTACACAACAACTAAGACC</t>
  </si>
  <si>
    <t>CACAGGGTCATACGATCAACCCAAGTTAATAGAAATACCGCGTAAAGCGTGTTAAAGAGTAATGCAAAATAAAGTTAAATTTTAGTTAAGCTGTAAAAAGCCATAATTAAAGTAAAAATAGACTACAAAACTGACTTTAGCACATCCTGGTTACACGGCAGCTAAGACC</t>
  </si>
  <si>
    <t>CACCGCGATCATACGATTGACCCAAATGAATAGCAATACGGCATAAAGCGTGATAAAGAATAATACAAAATAAAGTTAAACCTTGATTAAGCTGTAATGAGCCCTAACTAAAGTAAAAATAGACTACGAAAGTGACTTTAACATACCCTGATTACATGATAGCTAAGACC</t>
  </si>
  <si>
    <t>CACCGCGGTCATACGATTGACCCAAGTTAATAGACACCCGGCGTAAAGAGTGTCAAGGAACAATATAAAAATAAAGTCAAACCTTAATTAAGCTGTAAAAAGCCATAATTAAAATTAAGTTAAACTACGAAAGTAACTTTACCATAAACTGAGTGCACGACAACTAAGACC</t>
  </si>
  <si>
    <t>CACCGCGGTCATACGATTGACCCAAATTAATAGACACCCGGTGTAAAGAGTGTCAAGGAACGATATAAAAATAAAGTCAAACCTTAATTAAGCTGTAAAAAGCCATAATTAAAATTAAGTTAAACTACGAAAGTAACTTTACCATAAACCGAGTACACGATAACTAAGACC</t>
  </si>
  <si>
    <t>CACCGCGGTCATACGATTGACCCAAATTAATAGACACCTGGCGTAAAGAGTGTCAAGGAGCAATACAAAAATAAAGTCAAACCTTAATTAAGCTGTAAAAAGCCATAATTAAAATTAAGTTAAACTACGAAAGTAACTTTACCATAAACCGAGTACACGATAACTAAGACC</t>
  </si>
  <si>
    <t>CACCATGATCATACGATTAACCCAAACTAATAAAATCTGGTGAAAAGCGTGTTTAAGGTAAACCTACAGTAAAGCTAAACTCCGTCTAAGCTGTAAAAAGCTTCAACTGAAGTAAAAATAAACTACAAAAGTGACTTTAACACCCTGAAAACACGATAGCTAAGACT</t>
  </si>
  <si>
    <t>CACCGCGGTCATACGATTGACCCAAATTAATAGACACCCGGCGTAAAGAGTGTCAAGGAACAATACAAAAATAAAGTCAAACCTTAATTAAGCTGTAAAAAGCCATAATTAAAATTAAGTTAAACTACGAAAGTAACTTTATCATAAACTGAGTACACGACAACTAAGACC</t>
  </si>
  <si>
    <t>CACCGCGGTCATATGATTGACCCAAATTAACAGACACCCAGCGTAAAGAGTGTCAAGGAGCAATACAAAAATAAAGTCAAGCCTTAATTAAGCTGTAAAAAGCCATAATTAAAATTAAGTTAAACTACGAAAGTAACTTTACCATAAACCGAGTACACGATAACTAAGACC</t>
  </si>
  <si>
    <t>CACCAGCAGCCATAGATTGACCCGAATTAATAGAATTATGGCGTCAAGCGTGTTAAAGAATTATCCAAGATAAAGTTAAACCTTAATTAAGCTGTAAAAAGCCATAATTACAGTAAAAATAAACTGTGAAAGTGACTTTAACATATCCTGATCACACAACAGCTAAGACC</t>
  </si>
  <si>
    <t>CACCGTGGTCATATGATTGACCCAAATTAACAGACACCCGGCGTAAAGAGTGTCAAGGAGCCAATACAAAAATAAAGTCAAGCCTTAATTAAGCTGTAAAAAGCCATAATTAAAATGAAGTTAAACTACGAAAGTAACTTTATCATAAACTGAGTACACGACAACTAAGAGC</t>
  </si>
  <si>
    <t>CACCGCGGTTATACGAGAGGCCCAAGTTGACAGACACCGGCGTAAAGCGTGGTTAAGGAAAACTAAAACTAAAGCCGAACACCTTCAGGGCAGTTATACGCATCCGAAGGCACGAAGCCCCACCACGAAAGTGGCTTTATGACCCCCTGACCCCACGAAAGCTATGACA</t>
  </si>
  <si>
    <t>CACCGCGGTCATACGATTGACCCAAATTAATAGACACCCGGCATAAAGAGTGTCAAGGAGCAATACAAAAATAAAGCCAAACCTTAATTAAGCTGTAAAAAGCCATAATTAAAATTAAGTTAAACTACGAAAGTAACTTTACCATAAACCGAGTACACGATAACTAAGACC</t>
  </si>
  <si>
    <t>CACCGCGGTCACACGATTAACCCAAGTCAATAGAAGCCGGCGTAAAGAGTGTTTTAGATCACCCCCTCCCCAATAAAGCTAAAACTCACCTGAGTTGTAAAAAACTCCAGTTGACACAAAATAGACTACGAAAGTGGCTTTAAGATATCTGAACACACAATAGCTAAGACC</t>
  </si>
  <si>
    <t>CACCGCGGTCATACGATTGACCCAAATTAATAGACACCCGGCGTAAAGAGTGTCAAGGAGCAATACAAAAATAAAGTCAAACCTTAATTAAGCTGTAAAAAGCCATAATTAAAATTAAGTTAAACTACGAAAGTAACTTTACCATAAACCGAGTACACGATAACTAAGACC</t>
  </si>
  <si>
    <t>CACCGCGGTCATACGATTGACCCAAATTAATAGACACCCGGCGTAAAGAGTGTCAAGGAACGATATAAAAATAAAGTCAAACCTTAATTAAGCTGTAAAAAGCCATAATTAAAATTAAGTTAAACTACGAAAGTAACTTTACCATAAACTGAGTACACGACAACTAAGACC</t>
  </si>
  <si>
    <t>CACCACACGATTAACCCGAGCTAATGGAACTCAGCGTAAAGAGTGTTTAAGGTCTGCCCTCAATAAAGTTAAAGCCCATCTAAGTTGTAAAAAACTCCAGCTGAAATAAAATGTACTACAAAAGTAGCTTTAATACCCTGAAGACACAATAGCTAAGACC</t>
  </si>
  <si>
    <t>CACTGCGGTCACACGATTAACCCAAGTCAATAGAAGCCGGCGTAAAGAGTGTTTTAGATCACCCCCTCCCCAATAAAGCTAAAACTCACCTGAGTTGTAAAAAACTCCAGTTGACACAAAATAGACTACGAAAGTGGCTTTAACATATCTGAACACACAATAGCTAAGACC</t>
  </si>
  <si>
    <t>CACCGCGGTCACACGATTAACCCAAGTCAATAGAAACCGGCATAAAGAGTGTTTTAGATCAATTCCCCTCAATAAAGCTAAAATTCACGTGAGTTGTAAAAAACTCCAGTTGATACAAAATAAACTACGAAAGTGGCTTTAATGCATCTGAACACAGAATAACTAAGACC</t>
  </si>
  <si>
    <t>CACCGCGGTCATACGATTGACCCAAATTAATAGACACCCGGCGTAAAGAGTGTCAAGGAGCAATACAAAAATAAAGTCAAACCTTAATTAAGCTGTAAAAAGCCATAATTAAAATTAAGTTAAACTACGAAAGTAACTTTACCATAAACTGAGTACACGACAACTAAGACC</t>
  </si>
  <si>
    <t>CACCGCGGTCATACGATTGACCCAAATTAATAGACACCCGGCGTAAAGAGTGTCAAAGAACGATATAAAAATAAAGTCAAACCTTAATTAAGCTGTAAAAAGCCATAATTAAAATTAAGTTAAACTACGAAAGTAACTTTACCATAAACTGAGTACACGACAACTAAGACC</t>
  </si>
  <si>
    <t>CACCGCGGTCATACGATTGACCCAAATTAATAGACACCTGGCGTAAAGAGTGTCAAGGAGCAATACAAAAATAAAGTCAAACCTTAATTAAGCTGTAAAAAGCCATAATTAAAATTAAGTTAAACTACGAAAGTAACTTTACCATAAACTGAGTACACGACAACTAAGACC</t>
  </si>
  <si>
    <t>CACCGTGGTCATACGACTGACCCAAATTAATAGAGACACGGCGTAAAGAGTGTTAAGGAATCATACAAAATAAAGTCAAATCCTAATTAAGCTGTAAAAAGCCATAATTAAAACTAAGCTAAACCACGAAAGTGACTTTAGTACAATCTGAGTACACGACAACTAAGACC</t>
  </si>
  <si>
    <t>CACCGCGGTCACACGATTAACCCAAGTCAATAGAAGCCGGCGTAAAGAGTGTTTTAGATCACCCCCTCCCCAATAAAGCTAAAACTCACCTGAGTTGTAAAAAACTCCAGCTGACACAAAATAGACTACGAAAGTGGCTTTAACATATCTGAACACACAATAGCTAAGACC</t>
  </si>
  <si>
    <t>CACCGCGGTCATACGATTGACCCAAATTAATAGACATCCGGCGTAAAGAGTGTCAAAGAGCAGTATAAAAATAAAGTCAAACCTTAATTAAGCTGTAAAAAGCCATAATTAAAATTAAGTTAAACTACGAAAGTAACTTTACCATAAACCGAGTACACGATAACTAAGACC</t>
  </si>
  <si>
    <t>CACCGCGGTCACACTATTAACCCAAGTCAATAGAAGCCGGCGTAAAGAGTGTTTTAGATCACCCCCTCCCCAATAAAGCTAAAACTCACCTGAGTTGTAAAAAACTCCAGTTGACACAAAATAGACTACGAAAGTGGCTTTAACATATCTGAACACACAATAGCTAAGACC</t>
  </si>
  <si>
    <t>CACCGCGGTCATACGATTAACCCAAACTAATAGGCCTACGGCGTAAAGCGTGTTCAAGATACTTTTACACTAAAGTTAAAACTTAACTAAGCCGTAAAAAGCTACAGTTATCATAAAATAAACCACGAAAGTGACTTTATAATAATCTGACTACACGATAGCTAAGACC</t>
  </si>
  <si>
    <t>CACCGCGGTTATACGATAGGCCCAAGTTGACAGACCCCGGCGTAAAGCGTGGTTAGGGAAAACTCAAAACTAAAGCCGAATATCTTCAGGGCAGTTATACGCTTCCGAAGACACGAAGCCCTTCCACGAAAGTGACTTTATTACCCCCGACCCCACGAAAGCTAGGACA</t>
  </si>
  <si>
    <t>CACCGCGGTCATACGATTGACCCGAGCTAATAGACATACGGCGTAAAGGGTGTCAAGGAGTAGTATAGAATAAAGTCAAATCTTAGCTAAGCTGTAAAAAGCCATAACTAAGCCTAAGCTAAACCACGAAAGTAACTTTACCACAAACCGAGTACACGACAACTAAGACC</t>
  </si>
  <si>
    <t>CACCGCGGTCATACGATTGACCCAAGTTAATAGACACCCGGCGTAAAGAGTGTCAAGGAACAATACAAAAATAAAGTCAAACCTTAATTAAGCTGTAAAAAGCCATAATTAAAATTAAGTTAAACTACGAAAGTAACTTTACCATAAACCGAGTACACGATAACTAAGACC</t>
  </si>
  <si>
    <t>CACCGCGGTCATACGATTGACCCAAGTTAATAGACACCCGGCGTAAAGAGTGTCAAGGAACAATATAAAAATAAAGTCAAACCTTAATTAAGCTGTAAAAAGCCATAATTAAAATTAAGTTAAACTACGAAAGTAACTTTACCATAAACTGAATACACGACAACTAAGACC</t>
  </si>
  <si>
    <t>CACCGCGGTCATACGATTGACCCAAACTAATAGACACCCGGCGTAAAGAGTGTCAAAGAACAATATAAAAATAAAGTCAAACCTTAATTAAGCTGTAAAAAGCCATAATTAAAATTAAGTTAAACTACGAAAGTAACTTTACCATAAACTGAGTACACGACAACTAAGACC</t>
  </si>
  <si>
    <t>CACCGCGGTCATACGATTGACCCAAATTAATAAACACCCGGCGTAAAGAGTGTCAAGGAACAATATAAAAATAAAGTCAAACTTTAATTAAGCTGTAAAAAGCCATAATTAAAATTAAGTTAAACTACGAAAGTAACTTTACCATAAACTGAGTACACGACAACTAAGACC</t>
  </si>
  <si>
    <t>CACCGCGGTCATACGATTGACCCAAATTAATAAACACCCGGCGTAAAGAGTGTCAAGGAACAATATAAAAATAAAGTCAAACTTTAATTAAGCTGTAAAAAGCCATAATTAAAATTAAGTTAAACTACGAAAGTAACTTTACCATAAACCGAGTACACGATAACTAAGACC</t>
  </si>
  <si>
    <t>CACCGCGGTCATACGATTGACCCAAATTAATAGACACCCGGCGTAAAGAGTGTCAAGGAACAATACAAAAATAAAGTCAAACCTTAATTAAGCTGTAAAAAGCCATAATTAAAATTAAGTTAAACTACGAAAGTAACTTTACCATAAACTGAGTACACGACAACTAAGACC</t>
  </si>
  <si>
    <t>CACCGCGGTCATACGATTGACCCAAACTAATAGACACCCGGCGTAAAGAGTGTCAAGGAACAATACAAAAATAAAGTCAAACCTTAATTAAGCTGTAAAAAGCCATAATTAAAATTAAGTTAAACTACGAAAGTAACTTTACCATAAACCGAGTACACGATAACTAAGACC</t>
  </si>
  <si>
    <t>CACCGCGGTCATACGATTGACCCAAGTTAATAGACACCCGGCGTAAAGAGTGTCAAGGAACAATATAAAAATAAAGTCAAACCTTAATTAAGCTGTAAAAAGCCATAATTAAAATTAAGTTAAACTACGAAAGTAACTTTACCATAAACCGAGTACACGATAACTAAGACC</t>
  </si>
  <si>
    <t>CACCGCGGTCATACGATTGACCCAAACTAATAGACACCCGGCGTAAAGAGTGTCAAAGAACAATATAAAAATAAAGTCAAACCTTAATTAAGCTGTAAAAAGCCATAATTAAAATTAAGTTAAACTACGAAAGTAACTTTACCATAAACCGAGTACACGATAACTAAGACC</t>
  </si>
  <si>
    <t>CACCGCGGTCATACGATTGACCCAAATTAATAGACACCCGGCGTAAAGAGTGTCAAGGAACAATACAAAAATAAAGTCAAACCTTAATTAAGCTGTAAAAAGCCATAATTAAAATTAAGTTAAACTACGAAAGTAACTTTACCATAAACTGAATACACGACAACTAAGACC</t>
  </si>
  <si>
    <t>CACCGCGGTCATACGATTGACCCAAACTAATAGACACCCGGCGTAAAGAGTGTCAAAGAACAATATAAAAATAAAGTCAAACCTTAATTAAGCTGTAAAAAGCCATAATTAAAATTAAGTTAAACTACGAAAGTAACTTTACCATAAACTGAATACACGACAACTAAGACC</t>
  </si>
  <si>
    <t>CACCGCGGTCATACGATTGACCCAAATTAATAGACATCCGGCGTAAAGAGTGTCAAAGAGCAGTATAAAAATAAAGTCAAACCTTAATTAAGCTGTAAAAAGCCATAATTAAAATTAAGTTAAACTACGAAAGTAACTTTACCATAAACTGAGTACACGACAACTAAGACC</t>
  </si>
  <si>
    <t>CACCGCGGTCATACGATTGACCCAAGTTAATAGACACCCGGCGTAAAGAGTGTCAAGGAACAATATAAAAATAAAGTCAAACCTTAATTAAGCTGTAAAAAGCCATAATTAAAATTAAGTTAAACTACGAAAGTAACTTTACCATAAACTGAGTACACGACAACTAAGACC</t>
  </si>
  <si>
    <t>CACCGCGGTCATACGATTGACCCAAATTAATAGACACCCGGCGTAAAGAGTGTCAAGGAACAATACAAAAATAAAGTCAAACCTTAATTAAGCTGTAAAAAGCCATAATTAAAATTAAGTTAAACTACGAAAGTAACTTTACCATAAACCGAGTACACGATAACTAAGACC</t>
  </si>
  <si>
    <t>CACCGCGGTCACACGATTAACCCAAGTCAATAGAAGCCGGCGTAAAGAGTGTTTTAGATCACCCCCTCCCCAATAAAGCTAAAACTCACCTGAGTTGTAAAAAACTCCAGTTGACACAAAATAGACTACGAAAGTGGCTTTAACATATCTGAACACACAATAGCTAAGACC</t>
  </si>
  <si>
    <t>Scombridae</t>
  </si>
  <si>
    <t>Elopidae</t>
  </si>
  <si>
    <t>Hexagrammidae</t>
  </si>
  <si>
    <t>Coryphaenidae</t>
  </si>
  <si>
    <t>ASV00750</t>
  </si>
  <si>
    <t>ASV00749</t>
  </si>
  <si>
    <t>ASV00748</t>
  </si>
  <si>
    <t>ASV00747</t>
  </si>
  <si>
    <t>ASV00746</t>
  </si>
  <si>
    <t>ASV00745</t>
  </si>
  <si>
    <t>ASV00744</t>
  </si>
  <si>
    <t>ASV00743</t>
  </si>
  <si>
    <t>ASV00742</t>
  </si>
  <si>
    <t>ASV00741</t>
  </si>
  <si>
    <t>ASV00740</t>
  </si>
  <si>
    <t>ASV00739</t>
  </si>
  <si>
    <t>ASV00738</t>
  </si>
  <si>
    <t>ASV00737</t>
  </si>
  <si>
    <t>ASV00736</t>
  </si>
  <si>
    <t>ASV00735</t>
  </si>
  <si>
    <t>ASV00734</t>
  </si>
  <si>
    <t>ASV00733</t>
  </si>
  <si>
    <t>ASV00732</t>
  </si>
  <si>
    <t>ASV00731</t>
  </si>
  <si>
    <t>ASV00730</t>
  </si>
  <si>
    <t>ASV00729</t>
  </si>
  <si>
    <t>ASV00728</t>
  </si>
  <si>
    <t>ASV00727</t>
  </si>
  <si>
    <t>ASV00726</t>
  </si>
  <si>
    <t>ASV00725</t>
  </si>
  <si>
    <t>ASV00724</t>
  </si>
  <si>
    <t>ASV00723</t>
  </si>
  <si>
    <t>ASV00722</t>
  </si>
  <si>
    <t>ASV00721</t>
  </si>
  <si>
    <t>ASV00720</t>
  </si>
  <si>
    <t>ASV00719</t>
  </si>
  <si>
    <t>ASV00718</t>
  </si>
  <si>
    <t>ASV00717</t>
  </si>
  <si>
    <t>ASV00716</t>
  </si>
  <si>
    <t>ASV00715</t>
  </si>
  <si>
    <t>ASV00714</t>
  </si>
  <si>
    <t>ASV00713</t>
  </si>
  <si>
    <t>ASV00712</t>
  </si>
  <si>
    <t>ASV00711</t>
  </si>
  <si>
    <t>ASV00710</t>
  </si>
  <si>
    <t>ASV00709</t>
  </si>
  <si>
    <t>ASV00708</t>
  </si>
  <si>
    <t>ASV00707</t>
  </si>
  <si>
    <t>ASV00706</t>
  </si>
  <si>
    <t>ASV00705</t>
  </si>
  <si>
    <t>ASV00704</t>
  </si>
  <si>
    <t>ASV00703</t>
  </si>
  <si>
    <t>ASV00702</t>
  </si>
  <si>
    <t>ASV00701</t>
  </si>
  <si>
    <t>ASV00700</t>
  </si>
  <si>
    <t>ASV00699</t>
  </si>
  <si>
    <t>ASV00698</t>
  </si>
  <si>
    <t>ASV00697</t>
  </si>
  <si>
    <t>ASV00696</t>
  </si>
  <si>
    <t>ASV00695</t>
  </si>
  <si>
    <t>ASV00694</t>
  </si>
  <si>
    <t>ASV00693</t>
  </si>
  <si>
    <t>ASV00692</t>
  </si>
  <si>
    <t>ASV00691</t>
  </si>
  <si>
    <t>ASV00690</t>
  </si>
  <si>
    <t>ASV00689</t>
  </si>
  <si>
    <t>ASV00688</t>
  </si>
  <si>
    <t>ASV00687</t>
  </si>
  <si>
    <t>ASV00686</t>
  </si>
  <si>
    <t>ASV00685</t>
  </si>
  <si>
    <t>ASV00684</t>
  </si>
  <si>
    <t>ASV00683</t>
  </si>
  <si>
    <t>ASV00682</t>
  </si>
  <si>
    <t>ASV00681</t>
  </si>
  <si>
    <t>ASV00680</t>
  </si>
  <si>
    <t>ASV00679</t>
  </si>
  <si>
    <t>ASV00678</t>
  </si>
  <si>
    <t>ASV00677</t>
  </si>
  <si>
    <t>ASV00676</t>
  </si>
  <si>
    <t>ASV00675</t>
  </si>
  <si>
    <t>ASV00674</t>
  </si>
  <si>
    <t>ASV00673</t>
  </si>
  <si>
    <t>ASV00672</t>
  </si>
  <si>
    <t>ASV00671</t>
  </si>
  <si>
    <t>ASV00670</t>
  </si>
  <si>
    <t>ASV00669</t>
  </si>
  <si>
    <t>ASV00668</t>
  </si>
  <si>
    <t>ASV00667</t>
  </si>
  <si>
    <t>ASV00666</t>
  </si>
  <si>
    <t>ASV00665</t>
  </si>
  <si>
    <t>ASV00664</t>
  </si>
  <si>
    <t>ASV00663</t>
  </si>
  <si>
    <t>ASV00662</t>
  </si>
  <si>
    <t>ASV00661</t>
  </si>
  <si>
    <t>ASV00660</t>
  </si>
  <si>
    <t>ASV00659</t>
  </si>
  <si>
    <t>ASV00658</t>
  </si>
  <si>
    <t>ASV00657</t>
  </si>
  <si>
    <t>ASV00656</t>
  </si>
  <si>
    <t>ASV00655</t>
  </si>
  <si>
    <t>ASV00654</t>
  </si>
  <si>
    <t>ASV00653</t>
  </si>
  <si>
    <t>ASV00652</t>
  </si>
  <si>
    <t>ASV00651</t>
  </si>
  <si>
    <t>ASV00650</t>
  </si>
  <si>
    <t>ASV00649</t>
  </si>
  <si>
    <t>ASV00648</t>
  </si>
  <si>
    <t>ASV00647</t>
  </si>
  <si>
    <t>ASV00646</t>
  </si>
  <si>
    <t>ASV00645</t>
  </si>
  <si>
    <t>ASV00644</t>
  </si>
  <si>
    <t>ASV00643</t>
  </si>
  <si>
    <t>ASV00642</t>
  </si>
  <si>
    <t>ASV00641</t>
  </si>
  <si>
    <t>ASV00640</t>
  </si>
  <si>
    <t>ASV00639</t>
  </si>
  <si>
    <t>ASV00638</t>
  </si>
  <si>
    <t>ASV00637</t>
  </si>
  <si>
    <t>ASV00636</t>
  </si>
  <si>
    <t>ASV00635</t>
  </si>
  <si>
    <t>ASV00634</t>
  </si>
  <si>
    <t>ASV00633</t>
  </si>
  <si>
    <t>ASV00632</t>
  </si>
  <si>
    <t>ASV00631</t>
  </si>
  <si>
    <t>ASV00630</t>
  </si>
  <si>
    <t>ASV00629</t>
  </si>
  <si>
    <t>ASV00628</t>
  </si>
  <si>
    <t>ASV00627</t>
  </si>
  <si>
    <t>ASV00626</t>
  </si>
  <si>
    <t>ASV00625</t>
  </si>
  <si>
    <t>ASV00624</t>
  </si>
  <si>
    <t>ASV00623</t>
  </si>
  <si>
    <t>ASV00622</t>
  </si>
  <si>
    <t>ASV00621</t>
  </si>
  <si>
    <t>ASV00620</t>
  </si>
  <si>
    <t>ASV00619</t>
  </si>
  <si>
    <t>ASV00618</t>
  </si>
  <si>
    <t>ASV00617</t>
  </si>
  <si>
    <t>ASV00616</t>
  </si>
  <si>
    <t>ASV00615</t>
  </si>
  <si>
    <t>ASV00614</t>
  </si>
  <si>
    <t>ASV00613</t>
  </si>
  <si>
    <t>ASV00612</t>
  </si>
  <si>
    <t>ASV00611</t>
  </si>
  <si>
    <t>ASV00610</t>
  </si>
  <si>
    <t>ASV00609</t>
  </si>
  <si>
    <t>ASV00608</t>
  </si>
  <si>
    <t>ASV00607</t>
  </si>
  <si>
    <t>ASV00606</t>
  </si>
  <si>
    <t>ASV00605</t>
  </si>
  <si>
    <t>ASV00604</t>
  </si>
  <si>
    <t>ASV00603</t>
  </si>
  <si>
    <t>ASV00602</t>
  </si>
  <si>
    <t>ASV00601</t>
  </si>
  <si>
    <t>ASV00600</t>
  </si>
  <si>
    <t>ASV00599</t>
  </si>
  <si>
    <t>ASV00598</t>
  </si>
  <si>
    <t>ASV00597</t>
  </si>
  <si>
    <t>ASV00596</t>
  </si>
  <si>
    <t>ASV00595</t>
  </si>
  <si>
    <t>ASV00594</t>
  </si>
  <si>
    <t>ASV00593</t>
  </si>
  <si>
    <t>ASV00592</t>
  </si>
  <si>
    <t>ASV00591</t>
  </si>
  <si>
    <t>ASV00590</t>
  </si>
  <si>
    <t>ASV00589</t>
  </si>
  <si>
    <t>ASV00588</t>
  </si>
  <si>
    <t>ASV00587</t>
  </si>
  <si>
    <t>ASV00586</t>
  </si>
  <si>
    <t>ASV00585</t>
  </si>
  <si>
    <t>ASV00584</t>
  </si>
  <si>
    <t>ASV00583</t>
  </si>
  <si>
    <t>ASV00582</t>
  </si>
  <si>
    <t>ASV00581</t>
  </si>
  <si>
    <t>ASV00580</t>
  </si>
  <si>
    <t>ASV00579</t>
  </si>
  <si>
    <t>ASV00578</t>
  </si>
  <si>
    <t>ASV00577</t>
  </si>
  <si>
    <t>ASV00576</t>
  </si>
  <si>
    <t>ASV00575</t>
  </si>
  <si>
    <t>ASV00574</t>
  </si>
  <si>
    <t>ASV00573</t>
  </si>
  <si>
    <t>ASV00572</t>
  </si>
  <si>
    <t>ASV00571</t>
  </si>
  <si>
    <t>ASV00570</t>
  </si>
  <si>
    <t>ASV00569</t>
  </si>
  <si>
    <t>ASV00568</t>
  </si>
  <si>
    <t>ASV00567</t>
  </si>
  <si>
    <t>ASV00566</t>
  </si>
  <si>
    <t>ASV00565</t>
  </si>
  <si>
    <t>ASV00564</t>
  </si>
  <si>
    <t>ASV00563</t>
  </si>
  <si>
    <t>ASV00562</t>
  </si>
  <si>
    <t>ASV00561</t>
  </si>
  <si>
    <t>ASV00560</t>
  </si>
  <si>
    <t>ASV00559</t>
  </si>
  <si>
    <t>ASV00558</t>
  </si>
  <si>
    <t>ASV00557</t>
  </si>
  <si>
    <t>ASV00556</t>
  </si>
  <si>
    <t>ASV00555</t>
  </si>
  <si>
    <t>ASV00554</t>
  </si>
  <si>
    <t>ASV00553</t>
  </si>
  <si>
    <t>ASV00552</t>
  </si>
  <si>
    <t>ASV00551</t>
  </si>
  <si>
    <t>ASV00550</t>
  </si>
  <si>
    <t>ASV00549</t>
  </si>
  <si>
    <t>ASV00548</t>
  </si>
  <si>
    <t>ASV00547</t>
  </si>
  <si>
    <t>ASV00546</t>
  </si>
  <si>
    <t>ASV00545</t>
  </si>
  <si>
    <t>ASV00544</t>
  </si>
  <si>
    <t>ASV00543</t>
  </si>
  <si>
    <t>ASV00542</t>
  </si>
  <si>
    <t>ASV00541</t>
  </si>
  <si>
    <t>ASV00540</t>
  </si>
  <si>
    <t>ASV00539</t>
  </si>
  <si>
    <t>ASV00538</t>
  </si>
  <si>
    <t>ASV00537</t>
  </si>
  <si>
    <t>ASV00536</t>
  </si>
  <si>
    <t>ASV00535</t>
  </si>
  <si>
    <t>ASV00534</t>
  </si>
  <si>
    <t>ASV00533</t>
  </si>
  <si>
    <t>ASV00532</t>
  </si>
  <si>
    <t>ASV00531</t>
  </si>
  <si>
    <t>ASV00530</t>
  </si>
  <si>
    <t>ASV00529</t>
  </si>
  <si>
    <t>ASV00528</t>
  </si>
  <si>
    <t>ASV00527</t>
  </si>
  <si>
    <t>ASV00526</t>
  </si>
  <si>
    <t>ASV00525</t>
  </si>
  <si>
    <t>ASV00524</t>
  </si>
  <si>
    <t>ASV00523</t>
  </si>
  <si>
    <t>ASV00522</t>
  </si>
  <si>
    <t>ASV00521</t>
  </si>
  <si>
    <t>ASV00520</t>
  </si>
  <si>
    <t>ASV00519</t>
  </si>
  <si>
    <t>ASV00518</t>
  </si>
  <si>
    <t>ASV00517</t>
  </si>
  <si>
    <t>ASV00516</t>
  </si>
  <si>
    <t>ASV00515</t>
  </si>
  <si>
    <t>ASV00514</t>
  </si>
  <si>
    <t>ASV00513</t>
  </si>
  <si>
    <t>ASV00512</t>
  </si>
  <si>
    <t>ASV00511</t>
  </si>
  <si>
    <t>ASV00510</t>
  </si>
  <si>
    <t>ASV00509</t>
  </si>
  <si>
    <t>ASV00508</t>
  </si>
  <si>
    <t>ASV00507</t>
  </si>
  <si>
    <t>ASV00506</t>
  </si>
  <si>
    <t>ASV00505</t>
  </si>
  <si>
    <t>ASV00504</t>
  </si>
  <si>
    <t>ASV00503</t>
  </si>
  <si>
    <t>ASV00502</t>
  </si>
  <si>
    <t>ASV00501</t>
  </si>
  <si>
    <t>ASV00500</t>
  </si>
  <si>
    <t>ASV00499</t>
  </si>
  <si>
    <t>ASV00498</t>
  </si>
  <si>
    <t>ASV00497</t>
  </si>
  <si>
    <t>ASV00496</t>
  </si>
  <si>
    <t>ASV00495</t>
  </si>
  <si>
    <t>ASV00494</t>
  </si>
  <si>
    <t>ASV00493</t>
  </si>
  <si>
    <t>ASV00492</t>
  </si>
  <si>
    <t>ASV00491</t>
  </si>
  <si>
    <t>ASV00490</t>
  </si>
  <si>
    <t>ASV00489</t>
  </si>
  <si>
    <t>ASV00488</t>
  </si>
  <si>
    <t>ASV00487</t>
  </si>
  <si>
    <t>ASV00486</t>
  </si>
  <si>
    <t>ASV00485</t>
  </si>
  <si>
    <t>ASV00484</t>
  </si>
  <si>
    <t>ASV00483</t>
  </si>
  <si>
    <t>ASV00482</t>
  </si>
  <si>
    <t>ASV00481</t>
  </si>
  <si>
    <t>ASV00480</t>
  </si>
  <si>
    <t>ASV00479</t>
  </si>
  <si>
    <t>ASV00478</t>
  </si>
  <si>
    <t>ASV00477</t>
  </si>
  <si>
    <t>ASV00476</t>
  </si>
  <si>
    <t>ASV00475</t>
  </si>
  <si>
    <t>ASV00474</t>
  </si>
  <si>
    <t>ASV00473</t>
  </si>
  <si>
    <t>ASV00472</t>
  </si>
  <si>
    <t>ASV00471</t>
  </si>
  <si>
    <t>ASV00470</t>
  </si>
  <si>
    <t>ASV00469</t>
  </si>
  <si>
    <t>ASV00468</t>
  </si>
  <si>
    <t>ASV00467</t>
  </si>
  <si>
    <t>ASV00466</t>
  </si>
  <si>
    <t>ASV00465</t>
  </si>
  <si>
    <t>ASV00464</t>
  </si>
  <si>
    <t>ASV00463</t>
  </si>
  <si>
    <t>ASV00462</t>
  </si>
  <si>
    <t>ASV00461</t>
  </si>
  <si>
    <t>ASV00460</t>
  </si>
  <si>
    <t>ASV00459</t>
  </si>
  <si>
    <t>ASV00458</t>
  </si>
  <si>
    <t>ASV00457</t>
  </si>
  <si>
    <t>ASV00456</t>
  </si>
  <si>
    <t>ASV00455</t>
  </si>
  <si>
    <t>ASV00454</t>
  </si>
  <si>
    <t>ASV00453</t>
  </si>
  <si>
    <t>ASV00452</t>
  </si>
  <si>
    <t>ASV00451</t>
  </si>
  <si>
    <t>ASV00450</t>
  </si>
  <si>
    <t>ASV00449</t>
  </si>
  <si>
    <t>ASV00448</t>
  </si>
  <si>
    <t>ASV00447</t>
  </si>
  <si>
    <t>ASV00446</t>
  </si>
  <si>
    <t>ASV00445</t>
  </si>
  <si>
    <t>ASV00444</t>
  </si>
  <si>
    <t>ASV00443</t>
  </si>
  <si>
    <t>ASV00442</t>
  </si>
  <si>
    <t>ASV00441</t>
  </si>
  <si>
    <t>ASV00440</t>
  </si>
  <si>
    <t>ASV00439</t>
  </si>
  <si>
    <t>ASV00438</t>
  </si>
  <si>
    <t>ASV00437</t>
  </si>
  <si>
    <t>ASV00436</t>
  </si>
  <si>
    <t>ASV00435</t>
  </si>
  <si>
    <t>ASV00434</t>
  </si>
  <si>
    <t>ASV00433</t>
  </si>
  <si>
    <t>ASV00432</t>
  </si>
  <si>
    <t>ASV00431</t>
  </si>
  <si>
    <t>ASV00430</t>
  </si>
  <si>
    <t>ASV00429</t>
  </si>
  <si>
    <t>ASV00428</t>
  </si>
  <si>
    <t>ASV00427</t>
  </si>
  <si>
    <t>ASV00426</t>
  </si>
  <si>
    <t>ASV00425</t>
  </si>
  <si>
    <t>ASV00424</t>
  </si>
  <si>
    <t>ASV00423</t>
  </si>
  <si>
    <t>ASV00422</t>
  </si>
  <si>
    <t>ASV00421</t>
  </si>
  <si>
    <t>ASV00420</t>
  </si>
  <si>
    <t>ASV00419</t>
  </si>
  <si>
    <t>ASV00418</t>
  </si>
  <si>
    <t>ASV00417</t>
  </si>
  <si>
    <t>ASV00416</t>
  </si>
  <si>
    <t>ASV00415</t>
  </si>
  <si>
    <t>ASV00414</t>
  </si>
  <si>
    <t>ASV00413</t>
  </si>
  <si>
    <t>ASV00412</t>
  </si>
  <si>
    <t>ASV00411</t>
  </si>
  <si>
    <t>ASV00410</t>
  </si>
  <si>
    <t>ASV00409</t>
  </si>
  <si>
    <t>ASV00408</t>
  </si>
  <si>
    <t>ASV00407</t>
  </si>
  <si>
    <t>ASV00406</t>
  </si>
  <si>
    <t>ASV00405</t>
  </si>
  <si>
    <t>ASV00404</t>
  </si>
  <si>
    <t>ASV00403</t>
  </si>
  <si>
    <t>ASV00402</t>
  </si>
  <si>
    <t>ASV00401</t>
  </si>
  <si>
    <t>ASV00400</t>
  </si>
  <si>
    <t>ASV00399</t>
  </si>
  <si>
    <t>ASV00398</t>
  </si>
  <si>
    <t>ASV00397</t>
  </si>
  <si>
    <t>ASV00396</t>
  </si>
  <si>
    <t>ASV00395</t>
  </si>
  <si>
    <t>ASV00394</t>
  </si>
  <si>
    <t>ASV00393</t>
  </si>
  <si>
    <t>ASV00392</t>
  </si>
  <si>
    <t>ASV00391</t>
  </si>
  <si>
    <t>ASV00390</t>
  </si>
  <si>
    <t>ASV00389</t>
  </si>
  <si>
    <t>ASV00388</t>
  </si>
  <si>
    <t>ASV00387</t>
  </si>
  <si>
    <t>ASV00386</t>
  </si>
  <si>
    <t>ASV00385</t>
  </si>
  <si>
    <t>ASV00384</t>
  </si>
  <si>
    <t>ASV00383</t>
  </si>
  <si>
    <t>ASV00382</t>
  </si>
  <si>
    <t>ASV00381</t>
  </si>
  <si>
    <t>ASV00380</t>
  </si>
  <si>
    <t>ASV00379</t>
  </si>
  <si>
    <t>ASV00378</t>
  </si>
  <si>
    <t>ASV00377</t>
  </si>
  <si>
    <t>ASV00376</t>
  </si>
  <si>
    <t>ASV00375</t>
  </si>
  <si>
    <t>ASV00374</t>
  </si>
  <si>
    <t>ASV00373</t>
  </si>
  <si>
    <t>ASV00372</t>
  </si>
  <si>
    <t>ASV00371</t>
  </si>
  <si>
    <t>ASV00370</t>
  </si>
  <si>
    <t>ASV00369</t>
  </si>
  <si>
    <t>ASV00368</t>
  </si>
  <si>
    <t>ASV00367</t>
  </si>
  <si>
    <t>ASV00366</t>
  </si>
  <si>
    <t>ASV00365</t>
  </si>
  <si>
    <t>ASV00364</t>
  </si>
  <si>
    <t>ASV00363</t>
  </si>
  <si>
    <t>ASV00362</t>
  </si>
  <si>
    <t>ASV00361</t>
  </si>
  <si>
    <t>ASV00360</t>
  </si>
  <si>
    <t>ASV00359</t>
  </si>
  <si>
    <t>ASV00358</t>
  </si>
  <si>
    <t>ASV00357</t>
  </si>
  <si>
    <t>ASV00356</t>
  </si>
  <si>
    <t>ASV00355</t>
  </si>
  <si>
    <t>ASV00354</t>
  </si>
  <si>
    <t>ASV00353</t>
  </si>
  <si>
    <t>ASV00352</t>
  </si>
  <si>
    <t>ASV00351</t>
  </si>
  <si>
    <t>ASV00350</t>
  </si>
  <si>
    <t>ASV00349</t>
  </si>
  <si>
    <t>ASV00348</t>
  </si>
  <si>
    <t>ASV00347</t>
  </si>
  <si>
    <t>ASV00346</t>
  </si>
  <si>
    <t>ASV00345</t>
  </si>
  <si>
    <t>ASV00344</t>
  </si>
  <si>
    <t>ASV00343</t>
  </si>
  <si>
    <t>ASV00342</t>
  </si>
  <si>
    <t>ASV00341</t>
  </si>
  <si>
    <t>ASV00340</t>
  </si>
  <si>
    <t>ASV00339</t>
  </si>
  <si>
    <t>ASV00338</t>
  </si>
  <si>
    <t>ASV00337</t>
  </si>
  <si>
    <t>ASV00336</t>
  </si>
  <si>
    <t>ASV00335</t>
  </si>
  <si>
    <t>ASV00334</t>
  </si>
  <si>
    <t>ASV00333</t>
  </si>
  <si>
    <t>ASV00332</t>
  </si>
  <si>
    <t>ASV00331</t>
  </si>
  <si>
    <t>ASV00330</t>
  </si>
  <si>
    <t>ASV00329</t>
  </si>
  <si>
    <t>ASV00328</t>
  </si>
  <si>
    <t>ASV00327</t>
  </si>
  <si>
    <t>ASV00326</t>
  </si>
  <si>
    <t>ASV00325</t>
  </si>
  <si>
    <t>ASV00324</t>
  </si>
  <si>
    <t>ASV00323</t>
  </si>
  <si>
    <t>ASV00322</t>
  </si>
  <si>
    <t>ASV00321</t>
  </si>
  <si>
    <t>ASV00320</t>
  </si>
  <si>
    <t>ASV00319</t>
  </si>
  <si>
    <t>ASV00318</t>
  </si>
  <si>
    <t>ASV00317</t>
  </si>
  <si>
    <t>ASV00316</t>
  </si>
  <si>
    <t>ASV00315</t>
  </si>
  <si>
    <t>ASV00314</t>
  </si>
  <si>
    <t>ASV00313</t>
  </si>
  <si>
    <t>ASV00312</t>
  </si>
  <si>
    <t>ASV00311</t>
  </si>
  <si>
    <t>ASV00310</t>
  </si>
  <si>
    <t>ASV00309</t>
  </si>
  <si>
    <t>ASV00308</t>
  </si>
  <si>
    <t>ASV00307</t>
  </si>
  <si>
    <t>ASV00306</t>
  </si>
  <si>
    <t>ASV00305</t>
  </si>
  <si>
    <t>ASV00304</t>
  </si>
  <si>
    <t>ASV00303</t>
  </si>
  <si>
    <t>ASV00302</t>
  </si>
  <si>
    <t>ASV00301</t>
  </si>
  <si>
    <t>ASV00300</t>
  </si>
  <si>
    <t>ASV00299</t>
  </si>
  <si>
    <t>ASV00298</t>
  </si>
  <si>
    <t>ASV00297</t>
  </si>
  <si>
    <t>ASV00296</t>
  </si>
  <si>
    <t>ASV00295</t>
  </si>
  <si>
    <t>ASV00294</t>
  </si>
  <si>
    <t>ASV00293</t>
  </si>
  <si>
    <t>ASV00292</t>
  </si>
  <si>
    <t>ASV00291</t>
  </si>
  <si>
    <t>ASV00290</t>
  </si>
  <si>
    <t>ASV00289</t>
  </si>
  <si>
    <t>ASV00288</t>
  </si>
  <si>
    <t>ASV00287</t>
  </si>
  <si>
    <t>ASV00286</t>
  </si>
  <si>
    <t>ASV00285</t>
  </si>
  <si>
    <t>ASV00284</t>
  </si>
  <si>
    <t>ASV00283</t>
  </si>
  <si>
    <t>ASV00282</t>
  </si>
  <si>
    <t>ASV00281</t>
  </si>
  <si>
    <t>ASV00280</t>
  </si>
  <si>
    <t>ASV00279</t>
  </si>
  <si>
    <t>ASV00278</t>
  </si>
  <si>
    <t>ASV00277</t>
  </si>
  <si>
    <t>ASV00276</t>
  </si>
  <si>
    <t>ASV00275</t>
  </si>
  <si>
    <t>ASV00274</t>
  </si>
  <si>
    <t>ASV00273</t>
  </si>
  <si>
    <t>ASV00272</t>
  </si>
  <si>
    <t>ASV00271</t>
  </si>
  <si>
    <t>ASV00270</t>
  </si>
  <si>
    <t>ASV00269</t>
  </si>
  <si>
    <t>ASV00268</t>
  </si>
  <si>
    <t>ASV00267</t>
  </si>
  <si>
    <t>ASV00266</t>
  </si>
  <si>
    <t>ASV00265</t>
  </si>
  <si>
    <t>ASV00264</t>
  </si>
  <si>
    <t>ASV00263</t>
  </si>
  <si>
    <t>ASV00262</t>
  </si>
  <si>
    <t>ASV00261</t>
  </si>
  <si>
    <t>ASV00260</t>
  </si>
  <si>
    <t>ASV00259</t>
  </si>
  <si>
    <t>ASV00258</t>
  </si>
  <si>
    <t>ASV00257</t>
  </si>
  <si>
    <t>ASV00256</t>
  </si>
  <si>
    <t>ASV00255</t>
  </si>
  <si>
    <t>ASV00254</t>
  </si>
  <si>
    <t>ASV00253</t>
  </si>
  <si>
    <t>ASV00252</t>
  </si>
  <si>
    <t>ASV00251</t>
  </si>
  <si>
    <t>ASV00250</t>
  </si>
  <si>
    <t>ASV00249</t>
  </si>
  <si>
    <t>ASV00248</t>
  </si>
  <si>
    <t>ASV00247</t>
  </si>
  <si>
    <t>ASV00246</t>
  </si>
  <si>
    <t>ASV00245</t>
  </si>
  <si>
    <t>ASV00244</t>
  </si>
  <si>
    <t>ASV00243</t>
  </si>
  <si>
    <t>ASV00242</t>
  </si>
  <si>
    <t>ASV00241</t>
  </si>
  <si>
    <t>ASV00240</t>
  </si>
  <si>
    <t>ASV00239</t>
  </si>
  <si>
    <t>ASV00238</t>
  </si>
  <si>
    <t>ASV00237</t>
  </si>
  <si>
    <t>ASV00236</t>
  </si>
  <si>
    <t>ASV00235</t>
  </si>
  <si>
    <t>ASV00234</t>
  </si>
  <si>
    <t>TCAAGCCACGAAAGGGGGGAGCGCCCGAAGTCGCCCGTCACACGGCGCCGAAGGCGAGACCCCTGATTGGGACTAA</t>
  </si>
  <si>
    <t>TCACATGCGAAGAGTTAATGTCATTTGAAAATTTAACATTGTTAAGTTAATTAAGATATTAATAATTTGGATGAA</t>
  </si>
  <si>
    <t>TCACACTCTGGAAGTTGATTTCAATTGAAGCTTATTACCTAACCTTTTAGGAGGGTGTATGTGAGATTGGGGATAGCGACTGGAGTGAA</t>
  </si>
  <si>
    <t>TCACACCACGAAAGTTGGCTCTGCCTGAAATCGATCGCCTAAACCCTTCGGGGATAGCATCGCTTACGGTAGGTCCGATGATTGGGGTGAA</t>
  </si>
  <si>
    <t>TCACACTATGGAAGCTGGAAACGCCCGAAACTATTACCTTAACCTTTTGGATGGGGATAACTAAGGCAGGGCTAGTAACTGGAGTGAA</t>
  </si>
  <si>
    <t>TCACACCATGGAAGTTTGCTGTACCGGAAGCCGGTGATTCAACCCGCAAGGGAGATAGCCGTCCATGGTATGGCCGATGACTGGGGTGAA</t>
  </si>
  <si>
    <t>TCGCTCCTACCGATTTTGAGTGATCCGGTGAACCTTTTGGATTGCACGGTCTTTAAGGCTGGCGCGAGAAGTTAAGTAAATCTTATCACTTAGAGGAAGGAGAA</t>
  </si>
  <si>
    <t>TCACGTCATGGAAGTCGGTTTTGCCCGAAGTGCGTTAGCCAACCTGCAAAGGAGGCGATGCCCTAAGGTGAAGCTGGTAACTAGGACGAA</t>
  </si>
  <si>
    <t>TCACACCATGGGAGTGGGTTGCACCAGAAGTGGGTAGGCAAACCGTTAGGATGCCGCTTACCACGGTGTGGTTCATGACTGGGGTGAA</t>
  </si>
  <si>
    <t>TCACATCACGAAAGTTGGCTGTACCCGAAGTCACTGGGCTAACCGCAAGGAAGCAGGTGCCGAAGGTATGGTTAGCGATTGGGGTGAA</t>
  </si>
  <si>
    <t>TCACGCCCGGAAAGTCAGCTTTGTTTGAAGGGTTTTCGGCAATCATGCGCATTTTGGTGTGTAGCCGCACCTGATAGTGGGGTCGATGATCGGGGCGAA</t>
  </si>
  <si>
    <t>TCACATCATGGAAGCCGACAGCACCCGAAGTATCTGCGCCAACATTGGCAAGGTCCTAAGGTGTAGTTGGTAACTGGGATGAA</t>
  </si>
  <si>
    <t>TCACACCACGAAAGCCGAATGTACCAGAAGTCATAATGCTAACCTTCGGGAGGCTAGTGCCTAAGGTGTGTTTGGTGATCAGGGTGAA</t>
  </si>
  <si>
    <t>TCAAGCCATGGAAGTTGGTAAGACCTAAAGATAGTGACCGTCAAAGGAGCTGTTTAGGGTTAGATCGATAACTAGGGCTAA</t>
  </si>
  <si>
    <t>TCACACCACGGGAATTGGTTATACCTTAAGTTGGTGCGCTAACTCTTATGAGAGGCAGCTAACCACGGTAAAGCTAGTGACTGGGGTGAA</t>
  </si>
  <si>
    <t>TCAAGCCACGAGAGCTGGCAGCGCCCGAAGTCGCTAACCCAACCCTAGAGGAGGGCGGCGCCTACGGCGAGGCTGGTGATTGGGACTAA</t>
  </si>
  <si>
    <t>TCAAGCCACAAAAGTGGGGGGTACGTGAAGTCGCCGAGCCATCTTCGAGAGGCAAGCGCCGAGCGTAAACTCCGCGATTGGGACTAA</t>
  </si>
  <si>
    <t>TCAAGCCATGGAAGTTAGGGGTGCCTAAAGTCGGTAACCATAGAGGGTCCGCCTAGGGCAAAACTAATAACTGGGGCTAA</t>
  </si>
  <si>
    <t>TCACATCATGGAAGCTGGATGCACCCGAAGTCGTTGACCTAACCTTCGGGAAGGAGACGCCGAAGGTGTGTTTAGTGACTGGGATGAA</t>
  </si>
  <si>
    <t>TCACACCACGAAAGTTGGCTGGACCTGAAGACGGTGGCTCAACCTTCGGGAAAGAGCCGTCAACGGTCTGGTCGGTGATTGGGGTGAA</t>
  </si>
  <si>
    <t>TCAAGCCAACAAAGTCGGTAGAATTTGAACTTGCCAGTTATGGTGGGGAGGATACTATCGGCGATGGGGGTTAA</t>
  </si>
  <si>
    <t>TCAAGCCATGGAAGTCTGTGGTGCCTAAAGTCCGCACGTCGGCCTAGGGTAAAACAGATAACTGGGGCTAA</t>
  </si>
  <si>
    <t>TCACACCATGGGAGTGGACTGCACCAGAAGTGGGTGAGCTAACCGTAAGGAGGCAGCCCCCTAAGGTGTGGTTCATGACTGGGGTGAA</t>
  </si>
  <si>
    <t>TCACGTCATGGAAGTTGGTAACACTTGAAGTCATTGCGCTAACCCTTTGGGAGGCAGATGCCGAGAGTGGGACTGATGACTGGGACGAA</t>
  </si>
  <si>
    <t>TCACACCACGGAAGTCGGTAACACCCGAAGCCGGTGGCCTAACCCTCTGGGAAGGAGCCGTCGAAGGTGGGATCGGTGACTGGGGTGAA</t>
  </si>
  <si>
    <t>TCACACCATGGGAGTTGGTTCTACCCGAAGGTGGTGCGCTAACCTTTTAGGAGGCAGCCAACCACGGTGGGTTCAGCGACTGGGGTGAA</t>
  </si>
  <si>
    <t>TCACACCATGAAAGTCAGAAATACCCAACATCGATGTGCTAACCCTTTGGGAGGCAGTCGCTTAAGGTAGAGCTGGCAATTGGGGTGAA</t>
  </si>
  <si>
    <t>TCACACCACGGGAGTTGTTTGGACCAGAAGTCGCTGGCCTAACCATTTTATGGAGGGAAGCGCCGCAGGTCTGAGCGGTGACTGGGGTGAA</t>
  </si>
  <si>
    <t>TCACACCATGGGAGATGGTAATGCCCGAAGTCGGTGATCTAACCAATTTTTGGAGGAAGCCGCCTAAGGCAGTGCTGTTGACTAGGGTGAA</t>
  </si>
  <si>
    <t>TCAAGCGATGGAAGTCAGGAGTACCTGATGTCGCTCCAGCAAGGAGTGCCTAGGGTAAGCCTGGTAACTGGCGCTAA</t>
  </si>
  <si>
    <t>TCACATCACGAAAGTTGGTTGCACCTGAAAACGGTGAGCTGACCTTACGGAGGCAGCTGTTTACGGTGTGATCGATGATTGGGGTGAA</t>
  </si>
  <si>
    <t>TCACACCATGGGAGTGGGTTGCTCCAGAAGTGGCTAGTCTAACCTTTGACAGCCTTGAGCTGATAAGGAGGACGGTCACCACGGAGTGATTCATGACTGGGGTGAA</t>
  </si>
  <si>
    <t>TCACACCATGGGAGTTGCTCGGACCCGAAGTCGGTGCACTAACTCGCAAGAGAAGGAGCCGCCGAAGGTCTGGGTAGCGACTGGGGTGAA</t>
  </si>
  <si>
    <t>TCACACCATGGAAGTTGGGGGCGCCCGAAGTCGGATATAAACTGCCGAAGGCGAAACCAATGACTGGGGTGAA</t>
  </si>
  <si>
    <t>TCAAGTCACCCGAGTTGGGAGTACCCGAAGTAGGTTGCTGAACCGCAAGGACAGCGTCTGCGAAGGTAAAACTAATGAGGGGGACTAA</t>
  </si>
  <si>
    <t>TCACACCATGGAAGTTGGGGGGACCCGAAGCCTGTGATCTAACCATTTATGGAGGAAGCAGTCGAAGGTAAAACCAATGACTAGGGTGAA</t>
  </si>
  <si>
    <t>TCACACCATGGAAGTTGGGGGCGCCCGAAGCCGATTACTTAACCTTTTAGGAGAGAATCGTCGAAGGTGAAATCAATGACTAGGGTGAA</t>
  </si>
  <si>
    <t>TCACACCACCCGAGTTGGCGGCACCCAAAGTGGCTGCGCGAACCCGTGAAGGCTTTGCCTTCTTGGGACGCAGGTTACTAAGGTGAAGTCGGCAAGGGGGGTGAA</t>
  </si>
  <si>
    <t>TCACACCATGGGAGTGGATTGGACCAGAAGCCGGTACATTATAGTAACGTCTAAGGTCTGATTCATGACTGGGGTGAA</t>
  </si>
  <si>
    <t>TCAAGCCATGGAAGTTGGGAGGACCTGAAGATGGTGACCGTCAAAGGAACTGTTAAGGGTTATACCAGTAACTGGGGCTAA</t>
  </si>
  <si>
    <t>TCAAGTCACCCGAGTGGGTTGTACCCGAAGTTGGTTGCTTAACCGTAAGGAGAGCGTCGGCGAAGGTATGATTCGTGAGGGGGACTAA</t>
  </si>
  <si>
    <t>TCACACCATGGAAGTCGGATGCTCCAGAAGTGGCTGAGCTAACCTTCGGGAGGCAGGTCCCCAAGGAGTGTCCGGTAACTGGGGTGAA</t>
  </si>
  <si>
    <t>TCACACCATGGAAGTTGGTCACGCCCGAAGTCGTTATTTCAACCATTAATGGAGAAAGATGCCGAAGGTGGGACTAGTGACTGGGGTGAA</t>
  </si>
  <si>
    <t>TCACACCATGGGAGTTGGCTCAACCCTAAGCCGTGACCCTAACCTTCGGGAGGGGAGCGTCCACGGTGGGGCTGATGACTGGGGTGAA</t>
  </si>
  <si>
    <t>TCACACCATGGGAGTTGGATCTACCCGAAGATTGTGAGCTAACTTCGGAGGCAGCAAGCCACGGTAGGTTCAGCGACTGGGGTGAA</t>
  </si>
  <si>
    <t>TCACTTGCAAAGAATCAGTTCCGCTTGAAGGTTTTCATAAAGCCCATCGAGGGATTGATAATTTGGATGAA</t>
  </si>
  <si>
    <t>TCTCACGCACACACCGCCCGTCACCCTCCTCAAGTACCATAGCATAAGCCCCAGATCACTAACCCACGCTAAGCAAGCGTACAAGAGGAGACAA</t>
  </si>
  <si>
    <t>TCAAGCTAGGAAAGCCGGATATGGCTGAAGTCGTGGTCCCAACCGCAAGGGGGGAAGCGCCGAAGCTAGAGCTGGCGATTCGAGCTAA</t>
  </si>
  <si>
    <t>TCACACCATGGAAATTGGCTATACCCAAAGTCGCTACTTTAACTTTCGAGAGGAGGGCGCCAAAGGTAGAGCTAGTAACTGGGGTGAA</t>
  </si>
  <si>
    <t>TCACACCACGGAAGTTGGTTTTGTTTTAAGTCGTTTTTTTTATTTTAGGAAAAAGACCCTAAAGTGGATCTAGTAACTGGGGTGAA</t>
  </si>
  <si>
    <t>TCACACCATGGGAGTTGATATTGGCAGAAAACGCTGAGCTAACCTTCGGGAGGCAGGTGTTCAAGCTAGTGTTGATGACTGGGGTGAA</t>
  </si>
  <si>
    <t>TCACACCACGAAAGTCTGTTGTACCCGAAGTGGGTGAGCTAACTCGCAAGAGAGGCAGCCTCCGAAGGTATGGCCGGTAATTGGGGTGAA</t>
  </si>
  <si>
    <t>TCACGCCCGGAAAGTCAGCTTTGCTTGAATGGCTCGTAGTGATCGCCTGCTTTTTGAGGCGTAGCCGTGTTTGATAGTGGGGTCGATGATCGGGGCGAA</t>
  </si>
  <si>
    <t>TCACACCATGGGAGTGGGTTCTACCTTAAGTCGGTGCGCCAATCAGGCAGCCGCCCACGGTAGGATTCATGACTGGGGTGAA</t>
  </si>
  <si>
    <t>TCACACCACGAAAGTTGACTGGACCAGAAGCCAGTGGGTCTTCCGCTGCTCAAGGTCTGGTTGGTGATTGGGGTGAA</t>
  </si>
  <si>
    <t>TCAAGCCATGGAAGTTGGGTGTACCTTAAGTCGGTAACCGCAAGGAGCCGCCCAAGGTAAAACCAGTAACTAGGGCTAA</t>
  </si>
  <si>
    <t>TCACACCATGGGAGCTGGTGACGCCCAATATCGGTGCCCTAACCTTTTAGGGAGGAACCGCTTAAGGCAGCGCTGGTGACTGGGGTGAA</t>
  </si>
  <si>
    <t>TCACACCACGAAAGTTGGCAACACCCGAAGCCGATGAGCTAACCGTTTACGGAGGCAGTCGTCTAAGGTGGGGCTAATGATTGGGGTGAA</t>
  </si>
  <si>
    <t>TCAAGCCACCTGAATCGGTGGTACCCGAAGTCGTTGATCTAACCCGCAAGGGAGGAAGGCGCCTAAGGTAAAACCGGTGAGGAGGGCTAA</t>
  </si>
  <si>
    <t>TCACCCTCCTCAAATGCCATGACAAAGCCCTAGTCCATCAACACATGCTAGACAATTATATGAGCGGAGACAA</t>
  </si>
  <si>
    <t>TCAAGCCATGGAAGTCGGGAGGACCTGAAGACAGTTGTTTTGCGACGCTGTTTAGGGTTATACTGGTAACTAGGGCTAA</t>
  </si>
  <si>
    <t>TCACACCATGGGAATTGATAATTTTGGAAGCCAACTAGTGTTGTTCAAAAAACTGTCAGTGACTGGGGTGAA</t>
  </si>
  <si>
    <t>TCACACCACGGGAGTTGGTTGTACCAGAAGCAGTTGAGCTAACTATTCGTAGAAGCAGGCTGCCAAGGTATGATTGGTAACTGGGGTGAA</t>
  </si>
  <si>
    <t>TCACACCACGAAAGTGGTCATACCCAGAAGCAGGTGAGCTAACTTCGGAGGCAGCCTACCAAGGGTGTGGCCGTGATTGGGGTGAA</t>
  </si>
  <si>
    <t>TCACGCCCGGAAAGTCAGCTTTGCTTGAATGGTTTGCGGTTAATGTGCACTTCGCGGCACATACCCGGTCCTGATAGTGGGGTCGATGATCGGGGCGAA</t>
  </si>
  <si>
    <t>TCACACCATGAAAGCCGATTGTACTAGAAGTCGTGATGCCAACCCTCGGGAGGCTAACGCCTAAAGTATGCTTGGTGATCGGGGTGAA</t>
  </si>
  <si>
    <t>TCACACCCCTGAAGTTAACTTGGCCTGAAATTATTAGCTTAACCAAAACGGAGAGCGGTGCTTAAGGCTACGTTGGTGACTGAGGTGAA</t>
  </si>
  <si>
    <t>TCACAGTCCGGAAACTTGCTTGCTTAAAGTTTAGATCATTATTTTTTTTTTGTAAAAAAAATAATCTATTTACGTCTGTTGAGTTGGTAACTGGAATGAA</t>
  </si>
  <si>
    <t>TCAAGTCATGGAAGCTGGCAGCGCCTTAAGTCGCCGCAATTCAGCGGTGCCCACGGCGAAGCTGGTGACTGGGACTAA</t>
  </si>
  <si>
    <t>TCACACCACGAAAGTTGGTTCTACCCGACGTCGTTAACCTAACCCTTCGGGGAGGGATGCGCCTACGGTGGTATCGATGATTGGGGTGAA</t>
  </si>
  <si>
    <t>TCACACCATGGGAGTTTGTTGCACCAGAAGCAGGTAGCTTAACCTTCGGGAGGGCGCTTGCCACGGTGTGGCCGATGACTGGGGTGAA</t>
  </si>
  <si>
    <t>TCAAGCCATGGGAGTCGGGTGGGCCTGAAGATGGTGACCGTTACAGGAGCCATTTAGGGCAAAACTGGCGACTGGGGCTAA</t>
  </si>
  <si>
    <t>TCAAGCCATGGGAGTTCGGAGTACCTAAAGTACGTACCTGCGAGGGTCGTCCTAGGGTAATACGAGTGACTGGGGCTAA</t>
  </si>
  <si>
    <t>TCACACCACGAGAGTGGTCTTAGCCAGAAGTAGGCGAGCTAACTTCGGAGGCAACCTACCAAGGCTGAGGTCGCGATTGGGGTGAA</t>
  </si>
  <si>
    <t>TCACACCATGGAAGATTGTAACGCCCGAAGTCGGTGATCCAACCCTATGGGAGGAAGCCGCCTAAGGCAGTGCAGTTGACTGGGGTGAA</t>
  </si>
  <si>
    <t>TCAAATCACCCGAGTGAGGTCGGGATGAGGCCGACGCAACGTCGGTCGAATCTGGGCTTCGCAAGGGGGATTAA</t>
  </si>
  <si>
    <t>TCACACCATGGGAGTTGGTAACGCCCGAAGTCAGTGACCTAACCGAAAGGAAGGAGCTGCCGAAGGTGGGACCGATAACTGGGGTGAA</t>
  </si>
  <si>
    <t>TCACATCATGGGAGCTTAGTGCACCCGAAGTCGCCGTACCAACCCTTGTGGAGGAAGGCGCCGAAGGTGTGCTCAGTGACTGGGATGAA</t>
  </si>
  <si>
    <t>TCACACCATGGAAGTTGGGGGGGCCCAACGTCGGTGACCTAACCCTTCGGGGAAGGAGCCGCCTAAGGCAAAACCAATGACTGGGGTGAA</t>
  </si>
  <si>
    <t>TCAAGCCATGGAAGTTGGGTGTACCTTAAGACGGTGACCGCAAGGAGCTGTCCAAGGTAAAACCAGTAACTGGGGCTAA</t>
  </si>
  <si>
    <t>TCACACCATGGGAGTTGGCAATACCCGAAGCCGTCGAGCTAACCAATAGGAGGCAGACGTCGAAGGTAGGGTCAATAACTGGGGTGAA</t>
  </si>
  <si>
    <t>TCAAGCCATGGGAGTTGGGTGTGCCTGAAGGCCGTGACCGCAAGGAGCAGCCAAGGGTAAAATCAGCGACTGGGGCTAA</t>
  </si>
  <si>
    <t>TCACACCACGAAAGTCGGTAACACCCGAAGCCGGTGGCCCAACCATTTGGAGGGAGCCGTCGAAGGTGGGATCGGTAATTGGGGTGAA</t>
  </si>
  <si>
    <t>TCACACCATGGAAGTTGGTTTCACCTTAAGGCAAAGCCTAAAAACTTTGACTACGGTACGATCAGCGACTGGGGTGAA</t>
  </si>
  <si>
    <t>TCACACCATGGGAGTTGGCTTTACCCGAAGGCGATGCGCCGACCCGTAAGGGGGGCAGTCGACCACGGTAAGGTCAGCGACTGGGGTGAA</t>
  </si>
  <si>
    <t>TCAAGCCATGGAAGCCGGGTGTACCTAAAGTCGGTAACCGCAAGGAGCTGCCTAGGGTAAAATCGGTAACTGGGGCTAA</t>
  </si>
  <si>
    <t>TCAAACCACCCGAGTTGGGTCTTTGTGAGGGTGCCTCTATTAAGGCGCTCGAACATGGGTTCAGCAAGGAGGGTTAA</t>
  </si>
  <si>
    <t>TCAAACCATCTGAGTTGGGTCTGGATAAGGGTGCCTCTCTTTGGGGCATTCGAATCTAGGTTCAGCAAGGAGGGTTAA</t>
  </si>
  <si>
    <t>TCACACCATGGAAACTGGTTATGTTCGAAGCCGCTGTTTTAACTTTATATAAGAAATAGGCGTCGAAAGCAGAGCTGGTAACTAGGGTGAA</t>
  </si>
  <si>
    <t>TCACACCAAGGAAGTTGGTTATATCCGAAGTTATTATCCTAACCATTTGGAGGGAGATACCTAAGGTAGGACTAGCAACCGGGGTGAA</t>
  </si>
  <si>
    <t>TCACACCATGGGAGCTGGTTATGCCCGAAGTCGTTACTTTAACCATTTGGAGGAGGACGCCTAAGGTAGAATTAGTGACTGGGGTGAA</t>
  </si>
  <si>
    <t>TCACACCACGAAAATCGTCTCTACCCGACGTCATCTTAGCTAACAGCTTGCTGAGGCGGGTGCCTAAGGTAGAGGGGGTAATTGGGGTGAA</t>
  </si>
  <si>
    <t>TCAAGCCACGAAAGTGGGGGGCATCCGAAGTCGCTGAGGTAACCGCAAGGAGCCAGGCGCCGAAGATGAACTCTGCAATTGGGACTAA</t>
  </si>
  <si>
    <t>TCACGCCACGGGAGTTGTTTTCACCCGAATTCGTTCAGCTAACCTTTTGGAGGCATGCGAACACGGTGGGAATAGCGACTGGGGTGAA</t>
  </si>
  <si>
    <t>TCACACCATGGAAGCTGGCAACGCCCGAAGTCGTTACTCTAACCTTAGGGAGGAGGGCGCCGAAGGCAGTGCTAGTGACTGGGGTGAA</t>
  </si>
  <si>
    <t>TCACGCCCGGAAAGTCAGCCTTGCTTGAATGGTTCGCGGCGATTCTATACAACTTGGTAGATAGCGGTTCTTGATAGTGGGGTCGATGATCGGGGCGAA</t>
  </si>
  <si>
    <t>TCACACCACGAAAGTCGGCAACACCCGAAGCACGTGGCTCAACCCCTCGGGGAGAGAGCGTTCGAAGGTGGGGCTGGCGATTGGGGTGAA</t>
  </si>
  <si>
    <t>TCAAGTCACCGAAGTAGGTTGTACCCGAAGTAGGTTTGCTTAACCGCAAGGAGAGCGTCTGCGAAGGTATGATCTGTAACGGGGACTAA</t>
  </si>
  <si>
    <t>TCACACCATGGGAGTTTGTTGCACCAGAAGTAGCTAGCCTAACTGCAAAGAGGGCGGTTACCACGGTGTGGCCGATGACTGGGGTGAA</t>
  </si>
  <si>
    <t>TCACACCATGGGAGTTAGAAGCACCCGAAGCCTGTGACCTAACCATTTGGGAGGAGCAGTCTAAGGTGAAGCTAGTGACTAGGGTGAA</t>
  </si>
  <si>
    <t>TCAAGCCATGGGAGTTGGGTGGACCTGAAGACAGTGACCGCAAGGAGCTGTTTAGGGTAAAACCAGCGACTGGGGCTAA</t>
  </si>
  <si>
    <t>TCACGTCATGGAAGTTGGCAACGCCTAAAGTCAGTGGGTTAACCCTAACGGGAGACAGCTGCCTAGGGCGGGGTTGGTAACTGGGACGAA</t>
  </si>
  <si>
    <t>TCACACCATGGGAGCTGGTTATACCCAATACCGTTTGCTTAACCATTCGGAGAGCGGCGTCTAAGGTAGAACTAGTGACTGGGGTGAA</t>
  </si>
  <si>
    <t>TCACACCATGAGAGTTGGCAATACCCAACGTACGTGATCTAACCCGCAAGGGAGGAAGCGTCCTAAGGTAGGGTCAGCGATTGGGGTGAA</t>
  </si>
  <si>
    <t>TCACGCCATGGGAGTTGGGGTTGCCTGAAGAGGCTGAGCTAACCTTCGGGAGGCAGGTCTCAATGGTGAAACCGATGACTGGGGTGAA</t>
  </si>
  <si>
    <t>TCACACCATGGGAGTTGTTTTCATTTTAAGACGTGGCCTTAACCTTCGGGAGGGAGCGTCTACAGTGGGAGCGATGACTGGGGTGAA</t>
  </si>
  <si>
    <t>TCACACCATAGAAGTTGGTTATACCCGAAGCCGTTTAATTAATAAAAATGTCGAAGGTGGAATTAATAACTGGGGTGAA</t>
  </si>
  <si>
    <t>TCACACCATGGGAGCTGGTCATACCCAAAACCGTTAATTTAACCTTTTAGGAGAATGGCGTCTAAGGTAGGGCTAGTGACTGGGGTGAA</t>
  </si>
  <si>
    <t>TCAAGCCATGGAAGTTGGAAGTGCCTGAAGTCCGTTACCGCAAGGAGCGGCCTAGGGTAAAGTCGATAACTAGGGCTAA</t>
  </si>
  <si>
    <t>TCACATCATGAAAGCTCTTTGCACCCGAAGTCGTTGATCCAACCCGCTTCTCGTGGGAGGAAGGCGCCGAAGGTGTGGGGAGTGATTGGGATGAA</t>
  </si>
  <si>
    <t>TCACGCCCGGAAAGTTGGTTTTGTTTGAAGGATATTCGGTAATTATGTACAACATGACATATAGCCGCATCTGATAGTGGGGCCGATGATCGGGGCGAA</t>
  </si>
  <si>
    <t>TCACACCATGGGAGTTGGTTTCACCCGAAGGCAGTGCTCTAACCCGCAAGGGGGGAAGCTGACCACGGTGGGATCAGCGACTGGGGTGAA</t>
  </si>
  <si>
    <t>TCACGCCATGGGAGTGGGGAGTACCCAAAGTTGATGAGCTAACTCGCAAGAGAGGCAGTCACCTAAGGTAAGACTCGTAACTAGGGTGAA</t>
  </si>
  <si>
    <t>TCACATCATGGGAGTGGGCTGCAAAAGAAGTGGCTAGTCTAACCTTCGGGAGGACGGTCACCACTTTGTGGTTCATGACTGGGATGAA</t>
  </si>
  <si>
    <t>TCAAGCCACGAAAGCCGGTAGTACCCGAAGTCGCGTACCCAACCGCAAGGAGGGAAGTGCCTACGGTAAGACCGGTGATTGGGACTAA</t>
  </si>
  <si>
    <t>TCAAGCCACGAAAGCGGGGGGCGTCCGACGTCGCTGAGCTAACCTTCGGGAGGCAGGCGCCTAAGACGAACTCCGTGATTGGGACTAA</t>
  </si>
  <si>
    <t>TCACATCACGAGAGTGGCTAAAACCAGAAGCATGTGAGCTAACCTTCGGGAGGCAGCGTGCCAAGGTTGTAGACGCGATTGGGATGAA</t>
  </si>
  <si>
    <t>TCAAGCCATGGGAGTTGGGTGGACCTGAAGACGGTATTTTAATATCGTTTAGGGTTAAACCAGCGACTGGGGCTAA</t>
  </si>
  <si>
    <t>TCAAGCCATGGAAGCTGGGGGTGCCTGAAGTCGGTTACCGTAAGGTGCTGCCTAGGGTAAAACTAGTGACTGGGGCTAA</t>
  </si>
  <si>
    <t>TCACACCACGAGAGTGGTCATAACCAGAAGCAGGTGAGCTAACCTTCGGGGGGCATCCTACCAAGGTTGTGGTCGCGATTGGGGTGAA</t>
  </si>
  <si>
    <t>TCACACCATGGGAGTGGGTTGCTCCAGAAGTAGATAGCTTAACGAATGGGCGTTTACCACGGAGTGATTCATGACTGGGGTGAA</t>
  </si>
  <si>
    <t>TCACACCATGGGAGCTGGCTATGCCCGAAGTCGTTACCTCAACCGTTTGGAGGGGGGCGCCTAAGGTAGAGCTAGTGACTAGGGTGAA</t>
  </si>
  <si>
    <t>TCACACCATGGGAGTTGGGTTTACCCGAAGGTGGTGCGCCAACCGTAAGGAGGCAGCCAACCACGGTAAGCTCAGCGACTGGGGTGAA</t>
  </si>
  <si>
    <t>TCACACCACGAAAGTCTGCTGTACCAGAAGTCGCTGGGCTAACCCCGCTTGCGGGGGGGCAGGCGCCTAAGGTACGGCCGGTAATTGGGGTGAA</t>
  </si>
  <si>
    <t>TCACACCATGGAAGCTGGCCATCCCCGAAGTCATTACCCTAACCCATTGGGAGGGGGGTGCCTAAGGCAGGGCTAGTGACTAGGGTGAA</t>
  </si>
  <si>
    <t>TCGCACCTACCGATTGAATGGTCCGGTGAAATCTTCGGACCGCGCGATGGCCAGCAATGGTTGACGCGTGGAAAGTTGCTTAAACCTTACCATTTAGAGGAAGGTGAA</t>
  </si>
  <si>
    <t>TCACACTATGGAAATTTACCATACCCAAAGCCATTACCTTAACTTTTGAGGGGGATGTCTAAGGTAGGGTCAGTAACTGGAGTGAA</t>
  </si>
  <si>
    <t>TCAAGCCATGGGAGCCGAAGGTACCTGAAGTCGATAACCGTAAGGAGTCGCCCAAGGTAAATTTGGTAACTAGGGCTAA</t>
  </si>
  <si>
    <t>TCAAGCCATGGGAGCTGGGGGTGCCTGAAGATGGTGACTTTACGGGGAGCTATCTAGGGTAAAACTGGTAACTAGGGCTAA</t>
  </si>
  <si>
    <t>TCACACCATGGGAGTTGGGTCTACCTGACGACGGTGCGCTAACCCTTACGGGAGGCAGCCGGCCACGGTAGGCTCAGCGACTGGGGTGAA</t>
  </si>
  <si>
    <t>TCACACCATGGGAGTGGGTTGCAAAAGAAGTAGCTAGCATAACCTTCGGGAGTGCGGTTACCACTTTGTGATTCATGACTGGGGTGAA</t>
  </si>
  <si>
    <t>TCACACCACGAGAGTTTGTAACACCCAAAGTCGGTGAGGTAACCTTTTTGGAGCCAGCCGCCTAAGGTGGGACAGATGATTGGGGTGAA</t>
  </si>
  <si>
    <t>TCAAGCCATGGAAGTTGGGTGCGCCTGAAGACGATAACCGTGAGGAGTCGTCAAGGGTGAAACTGATAACTAGGGCTAA</t>
  </si>
  <si>
    <t>TCACTCTCCCCAAAAACACCTACTCAGTTAATTAAAACCTAATAATTATAGAGGGGAGGCAA</t>
  </si>
  <si>
    <t>TCACCCTCCTCAAGTATTATAATAATTTTCTATAATCTATTAGCAAATACTAATCATATGAGAGGAGACAA</t>
  </si>
  <si>
    <t>TCACACCATGGGAGTTGATTGGACCAGAAGTCGCTGAGCTAACCCTTCGGGGAGGCAAGCGCCCAAGGTCTGGTTAGCGACTGGGGTGAA</t>
  </si>
  <si>
    <t>TCACGTCATGAAAGTCGGTAACACCCGAAGCCGGTGGCCTAACCCTTGTGGAGGGAGCCGTCGAAGGTGGGATCGGCGATTGGGACGAA</t>
  </si>
  <si>
    <t>TCAAGCCACGAGAGTCGGGAGCACCCGTAGTCGGTGATCCAACCCGCAAGGGAGGAAGCCGCCGAAGGTGAGCTCGATGATTGGGACTAA</t>
  </si>
  <si>
    <t>TCACACCATGGGAGCTGGCTATACCCGAAACCGTTAACTCAACCTTATTCTTTTGAAGATATAGGAGAGAGGCGTACAAGGTAGAGTTAGTGACTGGGGTGAA</t>
  </si>
  <si>
    <t>TCACACCATGGAAGCTGGTAATGCCCGAAGTCGTTACTTTAACCCTCTGGGAGGAGAACGCCTAAGGCAGTGCTAGTGACTAGGGTGAA</t>
  </si>
  <si>
    <t>TCACACCATGGGAGTGGGATGCAAAAGAAGTGGTTAGCCTAACTTTTAGAGGGCGATCACCACTTTGTGTTTCATGACTGGGGTGAA</t>
  </si>
  <si>
    <t>TCACATCATGGAAGCCGGTCGCACCCGAAGTGCCTGAGCCAACCGCAAGGAGGCAAGGCCCTAAGGCGTAGCTGGTAACTGGGATGAA</t>
  </si>
  <si>
    <t>TCACATCATGGAAGTTGGTTTTGCCCGAAGTCGCCGACTCAACCGTAAGGAGAGAGGCGCCGAAGGTGAGGCTGATGACTAGGATGAA</t>
  </si>
  <si>
    <t>TCACACCATGGGAGCTGGTCATACCCAAAACCGTTAGTTTAACCATTCGGAGAACGACGTCTAAGGTAGGGCTAGTGACTGGGGTGAA</t>
  </si>
  <si>
    <t>TCACATCATGGGAGTTGGCTCTACCCGAAGATTGTGTGCTAACTTCGGAGGCAGCAAGCCACGGTAGGGTCAGCGACTGGGATGAA</t>
  </si>
  <si>
    <t>TCACACCATGGGAGTCGTTTGCTCCAGAAGTCGGTGACCCAACCTTTCGGGGAGGGAGCCGCCGAAGGAGTGAATGGTGACTGGGGTGAA</t>
  </si>
  <si>
    <t>TCACATCATGGGAGTTGGGTTTACCCGAAGACGGTGCGCCAACCCTTACGGGGGGCAGCTGGCCACGGTAGGCTCAATGACTGGGATGAA</t>
  </si>
  <si>
    <t>TCAAGCCATGGAAGTCGGGTGTGCCTGAAGGGCGTGACCATTAAGGAGCGCACTAGGGCAAAACCGGTAACTGGGGCTAA</t>
  </si>
  <si>
    <t>TCAAGCCATGGGAGCTGGGGGTGCCTGAAGATGGTGACTTAACGTGGAGCTATTTAGGGTAAAACTAGTAACTGGGGCTAA</t>
  </si>
  <si>
    <t>TCACACCATGGGAGTGGGTTCCACCAGAAGCAGGTAGTCTAACCGCAAGGAGGGCGCTTGCCACGGTGAGATTCATGACTGGGGTGAA</t>
  </si>
  <si>
    <t>TCAAGCCATGGGAGCTGGGGGTGCCTGAAAGCGGTGGCCTTATGGGGAGCTGCTTAGGGTAAAACCGGTGACTAGGGCTAA</t>
  </si>
  <si>
    <t>TCACACCATGGAAGTCGGTCATGCCCGAAGTCGTTACTTGAAAAAGTTCGCCTAAGGCAGGGCTGATGACTGGGGTGAA</t>
  </si>
  <si>
    <t>TCACACCATGGGAGTGGGTTGCACCAGAAGTAGTTAGGCTAACCGCAAGGGGGCCGATTACCACGGTGTGATTCATGACTGGGGTGAA</t>
  </si>
  <si>
    <t>TCAAGCCATGGGAGCCGGGGGGACCTGAAGTATGCAACCGTAAGGAGCGTCCTAGGGTAAAACTGGTGACTGGGGCTAA</t>
  </si>
  <si>
    <t>TCACACCATGGGAGTGGGCTGTACCAGAAGTGGCTAGCTTAACCTTCGGGAGAGCGGTTACCACGGTATGGTTCATGACTGGGGTGAA</t>
  </si>
  <si>
    <t>TCACACCATGGAAGCTAACCACACCCAAAGTCGTTACCCTAACCGATTACGGAGGGGGGCGCCTAAGGTAGGGTTAGTGACTGGGGTGAA</t>
  </si>
  <si>
    <t>TCACGTCAGGGGAGTAAAATTGGTCGGTCGTACCTAAACAGTATTATGAACAATTTTGTAACCGTGACGAA</t>
  </si>
  <si>
    <t>TCACACCATGGGAGCTGGTCATGCCCGAAACCGTTTGCCTAACCTTTTTGGAGGGCGGCGTCTAAGGTAGGGTTAGTGACTGGGGTGAA</t>
  </si>
  <si>
    <t>TCAAACCATGGAAGCTGGGGGTACCTGAAGATGGTGACTTTATGGAGAGCTATCTAGGGTAAATCTGGTAACTGGGGTTAA</t>
  </si>
  <si>
    <t>TCAAGTCATGGAAGCTGGTAGTACCCGAAGTCGCCCCGGTTCAGGGGTGCCCACGGTAAGGCCGGTGACTGGGACTAA</t>
  </si>
  <si>
    <t>TCACACCACGGAAATTAGCTACACCCAAAGCTATTACCTTAACCAGTATTTATGGAGAGGGGTATCTAAGGTGGAGTTAATAACTGGGGTGAA</t>
  </si>
  <si>
    <t>TCAAGCCACGAAAGCGGGGGGCGCCTAAAGTCGCTGTGCCAACCTTCGGGGAGCAGGCGCCTAGGGCGAACTTCGTGATTGGGACTAA</t>
  </si>
  <si>
    <t>TCACACCATGGGAGCTGGTTATACCCGATACCGTTTGCTTAACCATTCGGAGAGCGGCGTCTAAGGTAGAACTAGTGACTGGGGTGAA</t>
  </si>
  <si>
    <t>TCACATCACGGAAGTCAGTTGCACCCGAAATCGTTGATCCAACCCGTCTAGGGAGGAAGGCGCCTAAGGTGTGATTGGTAACTGGGATGAA</t>
  </si>
  <si>
    <t>TCACACCATGGGAGTTGATTTTACCTTAAGCTGGTGTACCAACCCTTTTATTAGGGAGGAAGCCAACCAAGGTGGGGTTGATGACTGGGGTGAA</t>
  </si>
  <si>
    <t>TCAAGCCATGGGAGTTGGGTGCGCCTGAAGGCGATAACCGTGAGGAGTCGTCTAGGGTGAAACTAGTAACTGGGGCTAA</t>
  </si>
  <si>
    <t>TCACACCATGGAAGTTGGCCACGCCCGAAGTCGTTACCCTAACCGTTTACGGAGGGGGATGCCGAAGGCAGGGCTGGTGACTAGGGTGAA</t>
  </si>
  <si>
    <t>TCAAGCCATGGGAGTCGGGGGTACCTGAAGAGTGTAACCGCAAGGAGCGCTTAAGGGTAATACTGGTGACTGGGGCTAA</t>
  </si>
  <si>
    <t>TCACACCATGGAAGTTGGTTATACTTTAAGGCAAAGCCTCAAAACTTTGACTACGGTAAAATCAGCGACTGGGGTGAA</t>
  </si>
  <si>
    <t>TCACACCATGGGAGTGGGCTGCACCAGAAGTGGATAGTTTAACCTTCGGGAGAACGTTCACCACGGTGTGGTTCATGACTGGGGTGAA</t>
  </si>
  <si>
    <t>TCACACCATGGGAATTGGTTTTACCTGAAGACTGTGTGCCAACCGCAAGGAGGCAGCAGGCCACGGTAAGATCAGTGACTGGGGTGAA</t>
  </si>
  <si>
    <t>TCACTCTCCTCAAGTATATAACAAAAATCATAACTTACTGGCAAATACTAGTTTATTTTGTGAAAGGA</t>
  </si>
  <si>
    <t>TCACACCATGGGAGCTGGTTATACCCAAAGTCGTTACTCTAACCTTTTGGAGGAGGGCGCCTAAGGTAGAATTAGTGACTGGGGTGAA</t>
  </si>
  <si>
    <t>TCACACCACGAAAGTTGAGTCCACCTGAAGTCGTGATCCTAACCTCGCAAGAGGAGGGAAGCGCCTACGGTGAACTCGATGATTGGGGTGAA</t>
  </si>
  <si>
    <t>TCAAGCCACCCAAATGGACCGCACCCGAAGTCGCTACCCTAACCGTAAGGAGGGGGGTGCCGAAGGTGAGGTTCGTGAGGGGGACTAA</t>
  </si>
  <si>
    <t>TCACACCATGGGAGTGGGTTGCAAAAGAAGTCGGTAGCTTAATCTTCGGAAGGGCGCTGACCACTTTGTGATTCATGACTGGGGTGAA</t>
  </si>
  <si>
    <t>TCACCCTCCTCAAGTATCACAGCAGAGCCCTAGATCACTAATCCCTGCTAAGCAAGCATACAAGAGGAGACAA</t>
  </si>
  <si>
    <t>TCAAGCCATGGGAGTTGGGAGGACCTGAAGATAGTAACCGTCTAGGAGCTATTTAGGGTTAAACCAGCGACTGGGGCTAA</t>
  </si>
  <si>
    <t>TCACACCATGGAAGCGGGCCATGCCCAACGTCGTATCCTGTTACAGGGAGCGCCTAAGGCAGGACTCGTGACTGGGGTGAA</t>
  </si>
  <si>
    <t>TCACGCGCGGAAAGCCGGCTTTGCCCGAAGAGTTTTGAGAAATGTGTGGTACCGTTGCACATACTCGAGCTTTACGGTGGGGTTGGTGATCGGGGTGAA</t>
  </si>
  <si>
    <t>TCACATCATGGAAGTGGGTTGCACCAGAAGTGGTTAGTCTAACCTTCGGGAAGACGATCACCACGGTGTGATTCATGACTGGGATGAA</t>
  </si>
  <si>
    <t>TCACACCATGAGAGCCGATTGTACCAGAAGTCACAATGCCAACCCTCGGGAGGCTAATGCCTAAGGTATGGTTGGTGATCGGGGTGAA</t>
  </si>
  <si>
    <t>TCACACCATGGAAGCTGGTCATACCCGATATCGTTTGCTTAACCAATTTTGGAGGGCGGCGCCTAAGGTAGGGCTAGTGACTGGGGTGAA</t>
  </si>
  <si>
    <t>TCAAGCCATGGAAGCTGGGGGTGCCTGAAGTTCGTTACCGCAAGGAGCGACCTAGGGTAAAACTGGTAACTAGGGCTAA</t>
  </si>
  <si>
    <t>TCACACCACGAAAGTTGGCTGGACCCGAAGTCGTTGACCCAACCCCACGGGAGGGAGGCGCCAACGGTCTGGTCGATGATTGGGGTGAA</t>
  </si>
  <si>
    <t>TCACACGCTGGAAGTTTATTTCTTTTGAAGATTTAGTTGAAACGTTCTGTTTGATTAACAGAATGAACAATCAATTCCATAAAAAAGTAAATGACTAGAGTGAA</t>
  </si>
  <si>
    <t>TCACACCATGGGAGTGGGCTGTACCAGAAGCGGGTAGGCTAACCTTCGGGAGGCCGCTCACCACGGTATGGTTCATGACTGGGGTGAA</t>
  </si>
  <si>
    <t>TCAAGCCATGGAAGCTTGGGGCGCCTGAAGTCGGTAACCGAAAGGAGCTGCCTAGGGCGAATCAGGTAACTAGGGCTAA</t>
  </si>
  <si>
    <t>TCACACCACGGGAATTGGTCATGCCCGAAGTTATTAATTTTTTGATACCTAAGGCAGGGTCGGTGACTGGGGTGAA</t>
  </si>
  <si>
    <t>TCACAGCATGGAAGTGGGTTGTACCAGAAGCGGGTAGGCTAACCTTCGGGAGGCCGCTCACCACGGTATGATTCATGACTGGGCTGAA</t>
  </si>
  <si>
    <t>TCACACCATGGGAGCTGGTTACGCCCGAAGCTATTATCCTAACCTCCGGGAGGGAAGTATCTAAGGTGGAATTGGTGACTGGGGTGAA</t>
  </si>
  <si>
    <t>TCACACCATGGGAGCTGGTCATACCCGAAGATATTAGCCTAACCTCGGAGGGCGGTATTTAAGGTAGGGCTAGTGACTGGGGTGAA</t>
  </si>
  <si>
    <t>TCAAACAATGGAAGCCGGGGGTGCCTGAAGTCGGTAACCGCAAGGAGCTGCCTAGGGTAAAACTGGTAACTGGTGTTAA</t>
  </si>
  <si>
    <t>TCACACCATGGAAGCTGGTTGTACCCGAAGTCGTTAAATGTCGCCTAAGGTAAAGCTAGTGACTGGGGTGAA</t>
  </si>
  <si>
    <t>TCACGCCACGAAAGTTGGTTCTGCCCGAAACCGCCGCGCTAACCGCAAGGAAGCAAGCGTCTAAGGTAGGGCCGATGATTGGGACGAA</t>
  </si>
  <si>
    <t>TCACATCATGGGAGCCTGGTGCACCCGAAGCCGTCGTACCAACCCTCGGGAGGAAGACGTCGAAGGTGTGCCCGGTGACTGGGATGAA</t>
  </si>
  <si>
    <t>TCAAGCCACGAAAGTTGGGGGGGCCCGAAGTCGCGATGCTAACCTCGTGAGGCTAGCGCCGAAGGTCAACTCGATGATTGGGACTAA</t>
  </si>
  <si>
    <t>TCAAGCCATGGGAGTCGGGGGTGCCTGAAGATGGTGACCTAACGAGGAGCTATCTAGGGTAAAACTGGTAACTAGGGCTAA</t>
  </si>
  <si>
    <t>TCGTTTCATTGAAGTGAGCTTTTAGCGAGGTGACGTCTGATTGGCGTTATCGAACTTGAGGTTCGTGACAAGGGAAAA</t>
  </si>
  <si>
    <t>TCACACCACGAAAGTGGGTAACACCCGAAGCCAGTGGCCTAACCTTAGGGAGGGAGCTGTCGAAGGTGGGATTCGCGATTGGGGTGAA</t>
  </si>
  <si>
    <t>TCACACCATGGGAGTGGGATGCAAAAGAAGTAGTTAGTTTAACCTTCGGGAGAACGATTACCACTTTGTGTTTCATGACTGGGGTGAA</t>
  </si>
  <si>
    <t>TCACACCACGGGAGTTGGAGGCGCCCGAAGCCGGATAGCTAACCTTTTGGAAGCGTCCGTCGAAGGTGAAGCCAATAACTGGGGTGAA</t>
  </si>
  <si>
    <t>TCAAGCCATGGAAGCTGGGGGTGCCTGAAGATGGTGACTTAACTGGGAGCTATCTAGGGTAAAACTGGTAACTGGGGCTAA</t>
  </si>
  <si>
    <t>TCACACCATGGGAGTGGGCTGTACCAGAAGCAGGTAGACTAACCTTCGGGGGGTCGCTTACCACGGTATGGTTCATGACTGGGGTGAA</t>
  </si>
  <si>
    <t>TCACACCATGGGAGTGGGTTGCTCCAGAAGTAGATAGCCTAACCTTCGGGGGGGCGTTTACCACGGAGTGATTCATGACTGGGGTGAA</t>
  </si>
  <si>
    <t>TCACACCATGGAAGTTGGTTTTACCCAAAGACGACGCGCTAACCGCAAGGAGGCAGTCGGCCACGGTAAGGTCAGCGACTGGGGTGAA</t>
  </si>
  <si>
    <t>TCAAACCATCTTAGTTGGGGGTGGGTGAGGCTACCTTTTTTTGGGGTATTCGAGCCTGCCTTCGACAAGGAGGGTTAA</t>
  </si>
  <si>
    <t>TCACACCACGGAAGCTGGTTATGCCCGAAGTCGTTATCTTAACCTTTTGGAAAGAGACGCCTAAGGTAGAACTAGTGACTGGGGTGAA</t>
  </si>
  <si>
    <t>TCACACCATGGGAGCTGGTCATACCCGAAGTCGTTTGCTTAACCGTTTGGAGAGCTGCGCCTAAGGTAGGGCTAGTGACTAGGGTGAA</t>
  </si>
  <si>
    <t>TCACACCATGGAAGCTGGTTACGCCCGAAGTCATTACTCTAACCTTTATGGAGGAGGATGCCTAAGGCAGAATTAGTGACTGGGGTGAA</t>
  </si>
  <si>
    <t>TCACACCATGGGAGCTGGTCATACCCGAAACCGTTTGTTTAACCATTAGGAGAACGGCGTCTAAGGTAGGGCTAGTGACTGGGGTGAA</t>
  </si>
  <si>
    <t>TCAAGCCATGGAAGTTGGGAGGACCTGAAGCAGGTAACCGTAAGGAGCTTGTTAGGGTTAAACCAGTAACTAGGGCTAA</t>
  </si>
  <si>
    <t>TCACACCATGGGAGTGGGTTGCACCAGAAGTAGTTGGCTTAACCTTCGGGAGGGCGATTACCACGGTGTGATTCATGACTGGGGTGAA</t>
  </si>
  <si>
    <t>TCAAGCCATGGAAGCTGGGAGTGCCTGAAGTCCGTCACCGCAAGGAGCGGCCTAGGGTAAAATCGGTAACTAGGGCTAA</t>
  </si>
  <si>
    <t>TCACACCATGGGAGCTGGGCATACCCAACACCGTTTGCTTAATATTCAAAGAGCGGCGTCTAAGGTAGGTCTAATGACTGGGGTGAA</t>
  </si>
  <si>
    <t>TCACATCACGAAAGTTAGCTGCTCTGGAAGTCGCTGAGCTAACCGCAAGGAGGCAGGTGCCGATAGAGTGGCTGGCGATTGGGGTGAA</t>
  </si>
  <si>
    <t>TCAAACAATGGAAGCTGGGGGTGCCTGAAGTCGGTAACCGAAAGGAGCTGCCTAGGGTAAAACTAGTAACTGGTGTTAA</t>
  </si>
  <si>
    <t>TCACACCATGGAAGCTGGTTATACCCGAAGTCGTTACTTTAACCGTTTGGAGAAGGATGCCTAAGGTAGAATTGGTGACTGGGGTGAA</t>
  </si>
  <si>
    <t>TCAAGCCACGAAAGTGGGGTGCGCCCGAAGTCGCTGCAGCAACTAGCAATAGAGCAAAGCGCCGAAGGTGAACTCCGCGATTGGGACTAA</t>
  </si>
  <si>
    <t>TCACACCATGGGAGTTAGAAACGCCCGAAGCCTGTGACCCAACTGAGAAGAGGGAGCAGTCGAAGGTGAAGCTAGCGACTGGGGTGAA</t>
  </si>
  <si>
    <t>TCACATCACGAAAGTCGGCTGTACCGGAAGTCGGTGGGCTAACCTTCGGGAGGCAACTGCCCATGGTATGGTCGGCGATTGGGGTGAA</t>
  </si>
  <si>
    <t>TCAAGCCATGGAAGCCAAGGGTACCTGAAGTCGGTAACCGCAAGGAATCGCCAAGGGTAAATTTGGTAACTGGGGCTAA</t>
  </si>
  <si>
    <t>TCAAGCCACGAAAGCTGAGAGCGCCCGAAGTCGTTTGCCTAACCGCAAGGAGGGCGGCGCCGAAGGCGAGCTTGGTGATTGGGACTAA</t>
  </si>
  <si>
    <t>TCACACCATGGGAGTGGGTTGCACCAGAAGTAGTTAGCTTAACCTTCGGGAGGGCGATTACCACGGTGTGATTCATGACTGGGGTGAA</t>
  </si>
  <si>
    <t>TCACACTATGGAAGTTTACCATACCCAAAGCCATTACCTTAACCTATGAGAGGGATGTCTAAGGTAGGGTTAATAACTGGAGTGAA</t>
  </si>
  <si>
    <t>TCACACCATGGGAGTGGATTCCACCAGAAGTAGGTAGCTTAACCTTCGGGAGAGCGCTTACCACGGTGGGGTTCATGACTGGGGTGAA</t>
  </si>
  <si>
    <t>TCACATCACGAAAGCCGGGTGCACTAGAAGTCGTTCGCCCAACCCTTGGGAGGGAGACGCCGACGGTGTGCTTGGTGATTGGGGTGAA</t>
  </si>
  <si>
    <t>TCACATCATGGAAGCCGGTCGCACCCGAAGTGTCTGCGTCAACAATGGCAGGGCCCTAAGGTGTAGCTGGTAACTGGGATGAA</t>
  </si>
  <si>
    <t>TCAAACCATGGAAGCTGGGGGTGCCTGAAGTCTGTGACCGCAAGGAGCAGCCTAGGGTAAAACTAGTGACTGGGGTTAA</t>
  </si>
  <si>
    <t>TCACACCATGGGAGTTCGCCACATCTGAAACCGCTTACTTAACCTTTACGGAGGGGGGCGACTATGGTGAGGTGAGTGATCGGGGTGAA</t>
  </si>
  <si>
    <t>TCACACCATGGGAGTTGATTGCACCAGAAGTGGATAGCCTAACGTAAGAGGGCGTTCACCACGGTGTGGTCGATGACTGGGGTGAA</t>
  </si>
  <si>
    <t>TCACACCATGGAAGTTGACTGTTCTAGAAGCGCCTGTACTAACTTTTAAGAAGAAAGGTTCCAAGGAATTGTTAGCAACTGGGGTGAA</t>
  </si>
  <si>
    <t>TCACACCATGGGAGTTGGTTCTACCCGAAGACGCTGTGTTAACCGCAAGGAGACAGGCGGCCACGGTAGGGTCAGCGACTGGGGTGAA</t>
  </si>
  <si>
    <t>TCACATGCCGGGAGTTAGTTTTACTTTAAAAACATAAAATAATCAAAAGATTCTTTATTTTTTGAGATTTTGGTTTCACGGCGAAATTAGTAACTGGGATGAA</t>
  </si>
  <si>
    <t>TCACATCCCGGAAATCGAAGGTATCTGAAGCTTTTGTCCTTAACCCTTTTGGGAGAGGCACTGCCACGGTAAGTTCCTTGACTGGGATGAA</t>
  </si>
  <si>
    <t>TCACACCACGAAAGAAAGCAACACCCGAAGTTGGTATCCTAACCTTTTGGAGGGAGCCACCTAAGGTGGGGTTTTTGATTGGGGTGAA</t>
  </si>
  <si>
    <t>TCACACCCTGGAAGCTTGCTTCGTCCGAAGTCGTTACTCTAACCTTTTTGGAAGTGGACGCCGAAGTCAGAGCTGGTGACCTGGGTGAA</t>
  </si>
  <si>
    <t>TCACACCATGGGAGTGGACTGCACCAGAAGTGGTTAGCCTAACGCAAGAGGGCGATCACCACGGTGTGGTTCATGACTGGGGTGAA</t>
  </si>
  <si>
    <t>TCAAGCCATGGGAGCTGGGGGTGCCTGAAGATGGTGACTTAACAGGGAGCTATCTAAGGTAAAACTAGTAACTGGGGCTAA</t>
  </si>
  <si>
    <t>TCAAACCCTGGGAATCGAAAGTGCCCGAAGCTGTTGATCTTAACCTGAAAAGGAGAGACGCTGTGAAGGTAAAGTCCTTGACTGGGGTTAA</t>
  </si>
  <si>
    <t>TCACCCTCCTCAAGTATCACAGCAAAGCCCCAGCTCACTAACCCATGCTAAGCAACTATACGAGAGGAGACAA</t>
  </si>
  <si>
    <t>TCACACCATGGGAGTCGCTTGGACCAGAAGTCGTCGGTAGCCAACCTTCGGGAGGCAGGCGCCGAAGGTCTGAGTGGTAACTGGGGTGAA</t>
  </si>
  <si>
    <t>TCACACCATGGAAGCTGGTCATACCCAAAGTCGTTATTCTAACCGTATGGAGGAAGGCGCCTAAGGTAGGATTGGTGACTGGGGTGAA</t>
  </si>
  <si>
    <t>TCACATGCAAAGAATTAATTTTGTTTGAAAGTTTTGACATTTTTGTCAAACTGAAAATACGATTATTAATTTGGATGAA</t>
  </si>
  <si>
    <t>TCACGCCCGGAAAGACAGCTTTGCTTGAAGAAACACTGGCGAATGCGCATTGTGCAGCGGATAGTTAGTTTTTGATAGTGGGGTCGACGATCGGGGCGAA</t>
  </si>
  <si>
    <t>TCAAACCATGGGAGTTGGGGGTACCTGAAGGTGGTGGCCATAGAGGAGCTACCTAAGGTAAAACTGATAACTGGGGTTAA</t>
  </si>
  <si>
    <t>TCACACCACGAGAGTTGGTTGCACCTGAAGTAGCAGGCCTAACCGTAAGGAAGGATGCTCCGAGGGTGTGGTTAGCGATTGGGGTGAA</t>
  </si>
  <si>
    <t>TCACACCATGGAAGTTGGTTACACCTTAAGGCAAAGGGTCAAACCTTTGACTACGGTACGATCAGCGACTGGGGTGAA</t>
  </si>
  <si>
    <t>TCACACCATGGGAGTGGGTTGCACCAGAAGTAGCTAGACTAACCTTCGGGGGGTCGGTTACCACGGTGTGATTCATGACTGGGGTGAA</t>
  </si>
  <si>
    <t>TCACACCATGGGAATTGGGTCTACCCGAAGGTGGTGCGCCAACCTCTCTGAGGAGGCAGCCAACCACGGTAGGCTCAGTGACTGGGGTGAA</t>
  </si>
  <si>
    <t>TCAAACCATCTTAGTTGGGGGTGGGTGAGGCTGCGTTTTATGGCGTATTCGAGCCCGCCTTCGACAAGGAGGGTTAA</t>
  </si>
  <si>
    <t>TCAAGCCATGGGAGTTGGGTGGGCCTGAAGTCGGTGACCATAGAGGAGCCGCCAAGGGCAAAACCAGCGACTGGGGCTAA</t>
  </si>
  <si>
    <t>TCACACCATGGGAGTTGATTGGACCAGAAGTCGTCGAGCCAACCTTCGGGGAGCAGGCGCCCAAGGTCTGATGAGCGACTGGGGTGAA</t>
  </si>
  <si>
    <t>TCACACCACGAGAGTTTACAACACCCGAAGTCGGTGGGGTAACCCGTAAGGGAGCCAGCCGCCGAAGGTGGGGTAGATGATTGGGGTGAA</t>
  </si>
  <si>
    <t>TCAAGCCATGGAAGTCGGGTAGACCTGAAGGCGGTAACCGTATAGGAGCCGTTTAGGGTAGAACCGGTAACTGGGGCTAA</t>
  </si>
  <si>
    <t>TCACACCATGGAAGTTGGTCGCACCCGAAGGCGGGGTCCCGCTCACCTTGAGAGGTAAAAAGGGGTGCCTCGACTAAGGCGAGAAGAGCAACCAGGGTGAA</t>
  </si>
  <si>
    <t>TCACACCATGGAAGCTGGTTATGCCCGAAGTCGTTACTTGAACCGTTTGGAGGAGGACGCCTAAGGTAGAATTAGTGACTGGGGTGAA</t>
  </si>
  <si>
    <t>TCACACCATGGGAGTGGGTTTCACCAGAAGTAGCTAGCCTAACCGCAAGGGGGGCGGTTACCACGGTGAGATTCATGACTGGGGTGAA</t>
  </si>
  <si>
    <t>TCAAGCCATGGAAGCCGAGGGGACCTGAAGTTCGTAACCGCAAGGAGCGACCTAGGGTAAAATTGGTAACTGGGGCTAA</t>
  </si>
  <si>
    <t>TCACACCATGGGAGTTGGTTCTACCCGAAGGTGGTGCGCTAACCTTTTAGGAGGCAGCCAACCACGGTAGGATCAGTGACTGGGGTGAA</t>
  </si>
  <si>
    <t>TCACACCATGGGAGTTGGTTTGACCCGAAGACGGTGGGCTAACCTTTTAGGAGGCAGCCGGCCACGGTCAGGTCAGCGACTGGGGTGAA</t>
  </si>
  <si>
    <t>TCACACCATGGGAGTTGGTTCTACCTTAAGGCAAAGGTTAAAAACTTTGACCACGGTATAGTCAGCGACTGGGGTGAA</t>
  </si>
  <si>
    <t>TCACGTCATGGAAGCTGGCAACACCTGAAGCCGGTATCCTAACCGCAAGGATGGAGCCGTCGAAGGTGGGGCTGGTGACTGGGACGAA</t>
  </si>
  <si>
    <t>TCACACCATGGGAGCTGGTTATACCCGAAGCTGTTATCCTAACCTTTTTGGAGGGAGGCATCGAAGGTAGAATTGGTGACTGGGGTGAA</t>
  </si>
  <si>
    <t>TCACACCATGGGAGTTGGTTTTACCCGAAGCAGGTGCGCTAACCTTTTAGGAGGCAGCCTACCACGGTAAGGTCAGCGACTGGGGTGAA</t>
  </si>
  <si>
    <t>TCAAACCATCTTAGTTTTGGGTGGGTGAGGCTACCTCTCAATGGGGTATTCGAGCCTGCCTTCGACGAGGAGGGTTAA</t>
  </si>
  <si>
    <t>TCACGCCATGGAAGTCAGTAGTACCCGAATCGGGTGGCCTAACCTTCGGGAGGGAGCTCGTTAAGGTAAGACTGGTAACTGGGGCGAA</t>
  </si>
  <si>
    <t>TCACACCACGAAAGTTGGCTGCTCCAGAAGTCGCTGGGCCAACCCGCAAGGGAGGCAGGCGCCTAAGGAGTGGTTGATGATTGGGGTGAA</t>
  </si>
  <si>
    <t>TCAAGCGATGGAAGCCGGGGGTACCCGAAGTCCTATGTAGATAGGCCGAAGGTAAAACTGGTGACTGGCGCTAA</t>
  </si>
  <si>
    <t>TCACACCATGGGAGTTGGTTGCACCAGAAGTGGGTAGTTTAACCTTCGGGAGAACGCTTACAACGGTGTGGTCAATGACTGGGGTGAA</t>
  </si>
  <si>
    <t>TCACACCATGGGAGTCAGTTAGTCCAGAAGTGCCTGAGCTAACCTTTTAGGAGGCAGGGTACCAAGGAGTGGCTGGTGACTGGGGTGAA</t>
  </si>
  <si>
    <t>TCACACCATGGGAGTAAATTGTACCAGAAGCGGGTAGGCTAACCGAAAGGGGGCCGCTCACCACGGTATGGTTTATGACTGGGGTGAA</t>
  </si>
  <si>
    <t>TCACACCATGAAAGTTGGCTATACCAGAAGCCGCTGTGCTAACTTCGGAGGCAGGCGTCCAAGGTGTGGTCGATGATTGGGGTGAA</t>
  </si>
  <si>
    <t>TCACACCATGGGAGTTGGATTCACCCGAAGGTGGTGCGCTAACCAGTTTACTGGAGGCAGCCAACCACGGTGGGTTCAGCGACTGGGGTGAA</t>
  </si>
  <si>
    <t>TCACACCATGGGAGTGGGTTGCTCCAGAAGTAGGTAGCTTAACCTTCGGGAGGGCGCTTACCACGGAGTGATTCATGACTGGGGTGAA</t>
  </si>
  <si>
    <t>TCACCCTCCTCAAGTATCACAGCAAAGCCCCAGCTCACTAACCCATGCTAAGCAACTATACAAGAGGAGACAA</t>
  </si>
  <si>
    <t>TCACACCATGGGAGTTGGATTCACCCGAAGGCGTCGCGCTAACCGCAAGGAGGCAGGCGACCACGGTGGGTTTAGCGACTGGGGTGAA</t>
  </si>
  <si>
    <t>TCACACCATGGGAGTGGGTTGCTCCAGAAGTAGCTAGCTTAACCTTCGGGAGAGCGGTTACCACGGAGTGATTCATGACTGGGGTGAA</t>
  </si>
  <si>
    <t>TCACACCATGGGAGCTGGTCACACCCGAAACCGTACGCTTAACCGTTTGGAGAGCTGCGTCTAAGGTAGGGCTAGTGACTAGGGTGAA</t>
  </si>
  <si>
    <t>TCACGTCATGAAAGTCGGCAACACCCGAAGCCAGTGGCCCAACCTTTTGGAGGGAGCTGTCGAAGGTGGGGCTGGCGATTGGGACGAA</t>
  </si>
  <si>
    <t>TCACATCATGAAAGCCGGTTCTGCCCGAAGTACATGAGTTAACCGCAAGGAGACAGTGTCCTAAGGTGGGGCTGGTGATTGGGATGAA</t>
  </si>
  <si>
    <t>TCAAACCACGAAAGTCAGCAATACCCAAAGCCGGTGGCCTAACCGTAAGGAGGGAGCCGTTTAAGGTAGGGTTGATGATTGGGGTTAA</t>
  </si>
  <si>
    <t>TCACACCATGGGAGCTGGTTATACCTAAAGTCGTTACTCTAACTTCGGAGGAGGGCGCCTAGGGTAGAATTAGTGACTAGGGTGAA</t>
  </si>
  <si>
    <t>TCACACCATGAGAGTTGGCAATACCCAAAGTTCGTGAGCTAACCGTAAGGAGGCAGCGACCTAAGGTAGGGTCAGCGATTGGGGTGAA</t>
  </si>
  <si>
    <t>TCACACCATGGGAGTGGGTTGCACCAGAAGTAGCTAGACTAACCTTCGGGAGGTCGGTTACCACGGTGTGATTCATGACTGGGGTGAA</t>
  </si>
  <si>
    <t>TCACACCATGGGAGTGGGTTGCTCCAGAAGTAGATAGCTTAACCTTCGGGAGGGCGTTTACCACGGAGTGATTCATGACTGGGGTGAA</t>
  </si>
  <si>
    <t>TCAAGCCATGGAAGCTGGGGGTGCCTGAAGATGGTGACTTTACAGGGAGCTATCTAGGGTAAAACTAGTAACTGGGGCTAA</t>
  </si>
  <si>
    <t>TCAAGCCACGGAAGTTGGTTTTTTCTTAAGCAGGTGCGCTAACCAGCAATGGAGGCAGCCTGTCACGAAAAGATCGATAACTGGGGTTAA</t>
  </si>
  <si>
    <t>TCACACCATGGGAGTTGGTTCTACCCGAAGACGGTCAGCGAACCGCAAGGACGCGGCCGGCCACGGTAGGGTCAGCGACTGGGGTGAA</t>
  </si>
  <si>
    <t>TCACACCATGGGAGCTGGTCACACCCGAAACCGTTTGCTTAACCATTTGGAGAGCGGCGTCTAAGGTAGGGCTAGTGACTGGGGTGAA</t>
  </si>
  <si>
    <t>TCAAACCATGGAAGTTGGGGGTGCCTGAAGTCCGTCACCGTAAGGAGCGGCCTAGGGTAAAACCAATGACTGGGGTTAA</t>
  </si>
  <si>
    <t>TCACACCATGGAAGCTGGCTATACCCGAAGTCGTTACCTCAACCGTTTGGAGGGGGGCGCCTAAGGTAGAGCTAGTGACTAGGGTGAA</t>
  </si>
  <si>
    <t>TCACACCATGGGAGTGGGTTGTACCAGAAGTAGATAGCTTAACCATTTGGAGGGCGTTTACCACGGTATGATTCATGACTGGGGTGAA</t>
  </si>
  <si>
    <t>TCACACCATGGGAGCTGGTTATGCCCGAAACCGTTTGCTTGACCTTTTGGAGAGTAGCGTCTAAGGTAAGACTAGTGACTGGGGTGAA</t>
  </si>
  <si>
    <t>TCACACCATGGAAGTTGGTTGCACCAGAAGTAGGTAGCTTAACCCTCGGGAGGGCGCTTACCACGGTGTGGTCAATGACTGGGGTGAA</t>
  </si>
  <si>
    <t>TCACACCATGGGAGTTGGTTCTACCCGACGACGCTGCGCTAACCTTTTGGGGGCAGGCGGCCACGGTAGGATCAGCGACTGGGGTGAA</t>
  </si>
  <si>
    <t>TCACACCATGGGAGTTGGTTTTACCCGAAGGCGGTTCGCCGACCCGTAAGGGGGGCAGCCGACCACGGTAAGGTCAGCGACTGGGGTGAA</t>
  </si>
  <si>
    <t>TCACACCATGGGAGTTGGATTCACCCGAAGGTGGTGCGCTAACCTTTTAGGAGGCAGCCAACCACGGTGGGTTCAGCGACTGGGGTGAA</t>
  </si>
  <si>
    <t>TCACACCATGGAAGCTGGTTATGCCCCAAGTCGTTACTCTAACCTTTTTGGAGGAGGACGCCTAAGGTAGAATTAGTGACTGGGGTGAA</t>
  </si>
  <si>
    <t>TCACACCATGGGAGTCTATTGCACCAGAAGTAGGTAGCCTAACGAAAGAGGGCGCTTACCACGGTGTGGTCGATGACTGGGGTGAA</t>
  </si>
  <si>
    <t>TCACACCATGGGAGTTGATTGGACCAGAAGCCGGTGAGCTAACCTTCGGGAGGCAGCCGTCCAAGGTCTGATTAGCGACTGGGGTGAA</t>
  </si>
  <si>
    <t>TCAAGCCATGGAAGTTAGGGGTACCTAAAGTACGTAACCGCAAGGAGCGTCCTAGGGTAAAACTAGTAACTGGGGCTAA</t>
  </si>
  <si>
    <t>TCACACCATGGGAGTGGATTGCACCAGAAGTAGGTAGCTTAACCTTCGGGAGGGCGCTTACCACGGTGTGGTTCATGACTGGGGTGAA</t>
  </si>
  <si>
    <t>TCAAACCATGGAAGCTGGGGGTGCCTGAAGTCTGTTACCGTAAGGAGCGGCCTAGGGTAAAACTAGTGACTGGGGTTAA</t>
  </si>
  <si>
    <t>TCACACCATGGAAGCTGGTTATGCCCGAAGTCGTCACTCTAACCGTTTGGAGGAGGATGCCTAAGGTAGAATTAGTGACTAGGGTGAA</t>
  </si>
  <si>
    <t>TCACACCATGGAAGCGGGTTACGCCTGAAGTCGTTACTTTGACCATTATGGAGAAGAATGCCGAGGGTAGAATTGGTGACTGGGGTGAA</t>
  </si>
  <si>
    <t>TCACACCATGGAAGCTGGTTATACCCGAAGTCATTACTCTAACCGTTTGGGGGAGGGTGCCGAAGGTAGAATTAGTGACTAGGGTGAA</t>
  </si>
  <si>
    <t>TCACACCATGGAAGTTGGTCGTACCTGAAACCGTTAGCTTAACCAATTGGAGAGCAGCGTATAAGGTAGGGTTAGTGACTGGGGTGAA</t>
  </si>
  <si>
    <t>TCACACCACGGGAGTTGACTGCGCCCGAAGCCGTGACCCCAACCCTTAGGGAGGGGAGCGTCTACGGCGAAGTCGGCGACTGGGGTGAA</t>
  </si>
  <si>
    <t>TCACACCATGGAAGCTGGTTATGCCCGAAGTCGTCACTCTAACCGTTTGGAGGAGGATGCCTAAGGTAGAATTAGTGACTGGGGTGAA</t>
  </si>
  <si>
    <t>TCACACCATGGGAGTTGTTTGCACCAGAAGTGGTTAGCTTAATATTGGGCGATCACCACGGTGTGGGCGATGACTGGGGTGAA</t>
  </si>
  <si>
    <t>TCACACCATGGGAGTGGGATGCAAAAGAAGTAGGTAGCTTAACCTTCGGGAGAGCGCTTACCACTTTGTGTTTCATGACTGGGGTGAA</t>
  </si>
  <si>
    <t>TCACACCATGGGAGTGGGTTGTACCAGAAGTAGATAGCTTAACCTTCGGGGGGGCGTTTACCACGGTATGATTCATGACTGGGGTGAA</t>
  </si>
  <si>
    <t>TCACACCATGGAAGTTGGTTACACCTTAAGGCAAATCGTCAACCTTCGGGAGACATTTGACTACGGTACGATCAGCAACTGGGGTGAA</t>
  </si>
  <si>
    <t>TCACACCATGGGAGTTGGGGGCGCCCGAAGCCGGTTAGCTAACCTTTTAGGAAGCGGCCGTCGAAGGTGAAACCAATGACTGGGGTGAA</t>
  </si>
  <si>
    <t>TCACTTGCAAAGAATCAGTTTCGCTTGAAGGTTTTTATAAAGCCCATTGAGAGATCGATAATTTGGATGAA</t>
  </si>
  <si>
    <t>TCAAACCATGGGAGCTGGGGGTGCCTGAAGACGGTGGCCATAAAGGAACTGTCTAGGGTAAAATCAGTAACTGGGGTTAA</t>
  </si>
  <si>
    <t>TCAAGCCATGGAAGTTGGGAGTGCCTGAAGTCCGTTTCCGCAAGGATCGGCCTAGGGTAAAATCGATAACTAGGGCTAA</t>
  </si>
  <si>
    <t>TCACACCATGGGAGTTGGCTTTACCCGAAGGCGGTGCGCTAACCAGCAATGGGGGCAGCCGACCACGGTAGGGTCAGCGACTGGGGTGAA</t>
  </si>
  <si>
    <t>TCAAGCCACGGGAGCGGGTAGCGCTCGAAGTCGCTTTGTCCAACCTTCGGGGGGACGGCGCCGAAAGCGAGATCCGTGACTGGGACTAA</t>
  </si>
  <si>
    <t>TCAAGCCACGAAAGCTGAGAGCGCCCGAAGTCGCTAGTCCAACCGCAAGGAGGACGGCGCCGAAGGCGAGCTTGGTGATTGGGACTAA</t>
  </si>
  <si>
    <t>TCACACCACGAGAGTTGGTTGCACCTGAAGTAGCAGGCCTAACCGTAAGGAAGGATGCTCCGAGGGTGTGTCTAGCGATTGGGGTGAA</t>
  </si>
  <si>
    <t>TCACATCATGGGAGTTGGTTCTACCCGAAGACTGTGCGCTAACTTCGGAGGCAGAAGGCCACGGTAGGATCAGCGACTGGGATGAA</t>
  </si>
  <si>
    <t>TCACACCATGGAAGCTGGTCACTCCCGAAGATGCTATTTTAACTTTTAGAAGAAGGTATCTAAGGAAGGTCTGGTGACTGGGGTGAA</t>
  </si>
  <si>
    <t>TCACACCATGGGAGTTGGCTTTACCCGAAGGCGGCGCGCCAACCATTTGGAGGCAGCCGACCACGGTAAGGTCAGCGACTGGGGTGAA</t>
  </si>
  <si>
    <t>TCACACCATGGAAGCTGGTTATACCCGAAGTCGTTACTTTAACCATTCGGAGGAGGACGCCTAAGGTAGAATTAGTGACTGGGGTGAA</t>
  </si>
  <si>
    <t>TCACATCCGAAGAATTAGTTTTGCTTGAAGATTTTTAAAAATCCATTGAAAAATTAATAATTGGGATGAA</t>
  </si>
  <si>
    <t>TCACACCATGGGAGCTGGTTATACCCGAAGTTATTATCCTAACCTTTTGGAGGGAGGTACCTAAGGTAGAATTGGTGACTGGGGTGAA</t>
  </si>
  <si>
    <t>TCAAGCCATGGAAGCGGGGAGCGCTCGAAGTCGCTATGTCCAACCTTCGGGGGGACGGCGCCGAAAGCGAGCTCCGTGACTGGGACTAA</t>
  </si>
  <si>
    <t>TCACACCACGAAAGTTGGCAACACCCGAAGTCAGTGGCCTAACCCTTTTGGGAAGGAGCTGCCGAAGGTGGGGTTAGCGATTGGGGTGAA</t>
  </si>
  <si>
    <t>TCACACCACGGAAATTAGCTACACCCAAAGCTATTACCTTAACCAAAAAAGGAGAGGGATATCTAAGGTGGAGTTAGTAACTGGGGTGAA</t>
  </si>
  <si>
    <t>TCACACCATGGGAGTTGGTTCTACCTTAAGGCAAGGCATAAAACCCTTGACCACGGTATAGTCAGCGACTGGGGTGAA</t>
  </si>
  <si>
    <t>TCACACCATGGGAGTGGGTTGTACCAGAAGTGGCTAGCTTAACCTTCGGGATGGCGGTCACCACGGTGTGATTCATGACTGGGGTGAA</t>
  </si>
  <si>
    <t>TCAAGCCATGGAAGTTGGTAGGATCTGAAGATGGTAGCCATTTGAGGAGCTATTAAAGATTAGATCAGTAACTAGGGCTAA</t>
  </si>
  <si>
    <t>TCAAGCCATGGAAGCCGGGAGTGCCTGAAGTCCGTCACCGTAAGGAGCGGCCTAGGGCAAGATCGGTAACTAGGGCTAA</t>
  </si>
  <si>
    <t>TCACACCATGGGAGCTGGTCATACCCGAAACAGTTTGCTTAACCGTTTGGAGGGCGACGTCTAAGGTAGGGCTAGTGACTGGGGTGAA</t>
  </si>
  <si>
    <t>TCACACCATGGAAGTTGGTTTTACCCAAAGATGATGAGCTAACCGCAAGGAAGCAGTCGGCCACGGTAAGGTCAGCGACTGGGGTGAA</t>
  </si>
  <si>
    <t>TCACACCATGGGAGTGGGTTGCTCCAGAAGTGGCTAGTCTAACCTTCGGGGGGACGGTCACCACGGAGTGATTCATGACTGGGGTGAA</t>
  </si>
  <si>
    <t>TCACACCACGGGAGTTGATTGCACCAGAAGTGGGTAGCCTAACTTTGGAGGGCGCTCACCACGGTGTGGTCGATGACTGGGGTGAA</t>
  </si>
  <si>
    <t>TCACACCATGGAAGCTGGTTATACCCGAAGTTGTTACTTTAACCGAAGGAAGAGGACACTTAAGGTAGAATTGGTGACTGGGGTGAA</t>
  </si>
  <si>
    <t>TCAAGCCACGAAAGTTGGGGGCGCCCTAAGCCGATGTTGCCAACCCGCAAGGGAGGCAGTCGTCCACGGTGAAACCAATGATTGGGACTAA</t>
  </si>
  <si>
    <t>TCACGCCCGGAAAGACAGCTTTGCTTGAAGGGCTCGCCCGAATGCGCGCAGCGTGGCGCATAGGGCGTGTCTGATAGTGGGGTCGACGATCGGGGCGAA</t>
  </si>
  <si>
    <t>TCACACCATGGGAGTCGGTTGCTCCAGAAGTGGATAGCCCAACCGTAAGGAGGGCGTTTACCAAGGAGTGACCGGTGACTGGGGTGAA</t>
  </si>
  <si>
    <t>TCAAGCCATGGAAGCTGGGGGTACCTGAAGTCGGTGACCGTAAGGAGCTGCCTAGGGTAAAACTGGTAACTGGGGCTAA</t>
  </si>
  <si>
    <t>TCACACCATGGGAGCGGGTTTTACCAGAAGTAGGTAGCTTAACCGCAAGGAGGGCGCTTACCACGGTAGGATTCGTGACTGGGGTGAA</t>
  </si>
  <si>
    <t>TCACACCATGGAAGTGCATTGCACCAGAAGTAGATAGCTTAACCTTCGGGATGGCGTTTACCACGGTGTGATCCATGACTGGGGTGAA</t>
  </si>
  <si>
    <t>TCACCCTCCTCAAGTATTATAGTAATTTCCTATAATCTATTAACAGACACTAATTATATGACAGGAGACAA</t>
  </si>
  <si>
    <t>TCAAGCCATGGAAGTTGGGAGTGCCTGAAGTCCGTCACCGAAAGGAGCGGCCTAGGGTAAAATCGATAACTAGGGCTAA</t>
  </si>
  <si>
    <t>TCACGCCATGGAAGCTGGGAGTGCCCGAAGTCCGTGACCCAACCCTCGGGAGGGAGCGGCCGAAGGCAAATTCGGTAACTGGGGCGAA</t>
  </si>
  <si>
    <t>TCACATCATGAAAGCCGGTCATACCCGAAGTCGTCGAGCTAACCCTCGGGAGGCAGATGCCGAAGGTAAGACTGGTGATTGGGATGAA</t>
  </si>
  <si>
    <t>TCAAACCATGGAAGCCGGGGGTGCCTGAAGATGGTGACTTTACGGGGAGCTATCTAGGGTAAAACTGGTGACTGGGGTTAA</t>
  </si>
  <si>
    <t>TCAAGCCATGGAAGCCGGGGGTACCTGAAGTCGGTCACCGCAAGGAGCTGCCTAGGGTAAAACTGGTAACTGGGGCTAA</t>
  </si>
  <si>
    <t>TCAAGCCATGGAAGCTGGGAGTGCCTGAAGTCGGTAACCGAAAGGAGCTGCCTAGGGTAAAACTAGTAACTGGGGCTAA</t>
  </si>
  <si>
    <t>TCACACCATGGAAGTTGGTTACACCTTAAGGCAAAGTTTAAAACCTTTGACTACGGTACGATCAGCGACTGGGGTGAA</t>
  </si>
  <si>
    <t>TCACACCATGGGAGTTGGTTCTACCTTAAGGCAAGGTTTTAAACCCTTGACTACGGTATAGTCAGCGACTGGGGTGAA</t>
  </si>
  <si>
    <t>TCACACCATGGGAGTGGGTTTTACCAGAAGTAGTTAGTCTGACCTTACGGAGGACGATTACCACGGTAGGATTCATGACTGGGGTGAA</t>
  </si>
  <si>
    <t>TCACACCATGGGAGTTGATTGGAACAGAAGTCGTCGAGCTAACCGCAAGGAGGCAGGCGCCCAAGGTCTGATGAGCGACTGGGGTGAA</t>
  </si>
  <si>
    <t>TCACACCATGGAAGTAGGTTGCACCAGAAGTAGGTAGCTTAACCCTCGGGAGGGCGCTTACCACGGTGTGGCTTATGACTGGGGTGAA</t>
  </si>
  <si>
    <t>TCACATGCCGGGAGTTAGTTTTACTTTAAAAACATAAAATAATCAAAAGATTTATAATTTTTTGAAGTTTTAGTTTCACGGCGAAATTAGTAACTGGGATGAA</t>
  </si>
  <si>
    <t>TCACACCACGAAAGTTGGCAACACCCGAAGCCAGTGGCCCAACCCTTTGGGGGGGAGCTGTCGAAGGTGGGGTTAGCGATTGGGGTGAA</t>
  </si>
  <si>
    <t>TCACCCTCCTCAAGTACTGACAAAACCACAATTTATTAACATATACTAGTCAATTATAGGAGAGGAGATAA</t>
  </si>
  <si>
    <t>TCACACCATGGGAGTTGGTTGCACCAGAAGTGGGTTGTTTAACCTTCGGGAGAACGCTTACAACGGTGTGGTCAATGACTGGGGTGAA</t>
  </si>
  <si>
    <t>TCAAGCCATGGAAGTTGGATATACCTGAAGATGGTTGCTGTAAGGCGCTGTTTAGGGTAGAGCTAGCAACTGGGGCTAA</t>
  </si>
  <si>
    <t>TCACCCTCCCCAGGTACTATGACAAAACCACAACTTATTAACAAATGCTAGTCAATTATATGAGAGGAGATAA</t>
  </si>
  <si>
    <t>TCACGCCCGGAAAGACAGCTTTGCTTGAAGGGCTCGCCCGAATGCTCGCAGCGTGGCGCATAGGGCGTGTCTGATAGTGGGGTCGACGATCGGGGCGAA</t>
  </si>
  <si>
    <t>TCACACCACGGGAGCTGGTCATACCCGAAACCGTTAGCTTAACCATTCGGAGAGCGACGTCTAAGGTAGGGCTAGTGACTGGGGTGAA</t>
  </si>
  <si>
    <t>TCACACCATGGGAGTGGGCTGCACCAGAAGTAGATAGCTGAACCTTCGGGAGGGCGTTTACCACGGTGTGGTTCATGACTGGGGTGAA</t>
  </si>
  <si>
    <t>TCACACCACGGGAGTTGATTGCACCAGAAGTGGGTAGCCTAACTTAGGAGGGCGCTCACCACGGTGTGGTCGATGACTGGGGTGAA</t>
  </si>
  <si>
    <t>TCACATCATGGAAGTCAGTTGCACCCGAAGTCGTTGATCCAACCCGTCTAGGGAGGAAGGCGCCTAAGGTGTGATTGGTAACTGGGATGAA</t>
  </si>
  <si>
    <t>TCACACCATGGGAGTCGATTGCTCCAGAAGTGGGTAGCCTAACCTTTCGGGGAGGGCGCTTACCAAGGAGTGGTCGGTGACTGGGGTGAA</t>
  </si>
  <si>
    <t>TCACACCATGGAAGTTGGTTTTACCCAAAGACGATAAGCTAACCGCAAGGAGGCAGTCGGCTACGGTAAGGTCAGCGACTGGGGTGAA</t>
  </si>
  <si>
    <t>TCACACCATGGGAGCTGGTCATACCCAATATCGTTAGTCTAACCATTCGGAGGACGGCGCTTAAGGTAGGGCTAGTGACTGGGGTGAA</t>
  </si>
  <si>
    <t>TCACACCATGGGAGCTGGTCATACCCGATACCGTTTGTTTAACCATTCGGAGAACGACGTCTAAGGTAGGGCTAGTGACTGGGGTGAA</t>
  </si>
  <si>
    <t>TCAAGCCATGGAAGCTGGGGGTACCTGAAGTCCGTCACCGCAAGGAGCGGCCTAGGGTAAAACTGGTAACTGGGGCTAA</t>
  </si>
  <si>
    <t>TCACATCATGAAAGTCGATTGTACCCGAAGTCGCCGAGTTAACCGCAAGGAGACAAGTGCCGAAGGTATGGTTGGTAATTGGGATGAA</t>
  </si>
  <si>
    <t>TCAAGCCATGGAAGCCGGGGGTGCCTGAAGATGGTGACCATATAGGAGCTATCTAAGGTAAAATCGGTAACTAGGGCTAA</t>
  </si>
  <si>
    <t>TCACACCATGGGAGTTGGTTCTACCTTAAGGCAAGGTTTAATATCCTTGACCACGGTATAGTCAGCGACTGGGGTGAA</t>
  </si>
  <si>
    <t>TCACACCATGGAAGCTGGTCATATCCAATACCGTTAGCTTAACCGTTTGGAGAGCGACGTCTACGGTAGGGCTGGTGACTGGGGTGAA</t>
  </si>
  <si>
    <t>TCACACCACGAGAGTTGGTTGCACCTGAAGTAGCAGGCCTAACCGTAAGGAGGGATGCTCCGAGGGTGTGATTAGCGATTGGGGTGAA</t>
  </si>
  <si>
    <t>TCACACCATGGGAGCTGGTCATACCCGAAACCGTTAGTTTAACCTCTTGGAGAACGACGTCTAAGGTAGGGCTAGTGACTGGGGTGAA</t>
  </si>
  <si>
    <t>TCACTCTCCCCAAAAATACTACCACCAAAGTAAATAACATCACAATAACACAAAAGGGGAGGTAA</t>
  </si>
  <si>
    <t>TCAAACCACGGAAGTTAGCAATACCCAAAGCCGGTGGCCTAACCGTAAGGAGGGAGCCGTTTAAGGTAGGGTTGATGACTGGGGTTAA</t>
  </si>
  <si>
    <t>TCAAGCCATGGAAGCTGGGAGTACCTGAAGTCGGTAACCGTATAGGAGCTGCCTAGGGTAAAACTAGTGACTGGGGCTAA</t>
  </si>
  <si>
    <t>TCACACCATGGGAGTAGGTTTCACCAGAAGTAGCTAGCCCAACCTTCGGGGAGGCGGTTACCACGGTGAGATTTATGACTGGGGTGAA</t>
  </si>
  <si>
    <t>TCAAACCATGAAAGTGACCAACACCCGAAGTCCGATTCGTCGGCCTAAGGTGGGGGGCATGATTGGGGTTAA</t>
  </si>
  <si>
    <t>TCACACCATGGGAGCTGGTCATACCCGAAACCGTTTGCTTAACCTTCTGGAGAGCGGCGTCTAAGGTAGGGCTAGTGACTGGGGTGAA</t>
  </si>
  <si>
    <t>TCAAGCCACGGAAGTCGGTCGCGCCCAATATCGTATCCTTAACCTTCGGGGGGGGAGCGACTAAGGCGAGTCTGGTAACTGGGGCTAA</t>
  </si>
  <si>
    <t>TCACACCATGGGAATTGGTCACGCTCGAAACCGTTACCCTAACCTTTTGGAGGGGTTCGTCTAAGGCAGGGTTGATAACTGGGGTGAA</t>
  </si>
  <si>
    <t>TCACACCATGGGAGTTGGCTCAACCTGAAGTCGTGGCCTTAACTAGTTTACTAGAGGGGAGCGCCTACGGTGGGGTTGATGACTGGGGTGAA</t>
  </si>
  <si>
    <t>TCACACCATGGGAGCTGGTCATACCCGAAACCGTTAGTTCAACCATTCGGAGAACGACGTCTAAGGTAGGGCTAGTGACTGGGGTGAA</t>
  </si>
  <si>
    <t>TCAAGCCACGAAAGTTGGGAGGGCCCGAAGTCGCCAAGCTAACTCGCAAGAGAGGCAGGCGCCGAAGGTCAGCTCGACAATTGGGACTAA</t>
  </si>
  <si>
    <t>TCACACTATGGAAGCTGGTTATACCCGAAGCTATTATCCTAACCTTTTGGAGGGAAGTATCTAAGGTAGAATTGGTGACTGGAGTGAA</t>
  </si>
  <si>
    <t>TCAAGCGATGGAAGTCAGGAGTACCTGATGTCGGCGTGCCAACCTTCGGGGGGCAGCTGCCTAGGGTAAGCCTGGTAACTGGCGCTAA</t>
  </si>
  <si>
    <t>TCACACCATGGGAGTGGGTTCCACCAGAAGTAGCTAGCCTAACCGCAAGGGGGGCGGTTACCACGGTGAGATTCATGACTGGGGTGAA</t>
  </si>
  <si>
    <t>TCAAGCCATGGAAGTTGGGAGAACCTAAAGTCGATCGCCGCAAGGAGTCGCCTAGGGTTATACCGATAACTGGGGCTAA</t>
  </si>
  <si>
    <t>TCACACCATGGGAGCGGGTTTTACCAGAAGTGGCTAGCTTAACCGTAAGGAAAGCGGTTACCACGGTAGGATTCGTGACTGGGGTGAA</t>
  </si>
  <si>
    <t>TCACACCATGGGAGTGGGTTGTACCAGAAGTAGATAGCTTAACCTTTTGGGGGGCGTTTACCACGGTATGATTCATGACTGGGGTGAA</t>
  </si>
  <si>
    <t>TCACACCATGGGAGTTGGTTCTACCCGACGGCCGTGCGCTAACCTTATGGAGGCAGCGGACCACGGTAGGATCAGCGACTGGGGTGAA</t>
  </si>
  <si>
    <t>TCACGCGCTGGGAATGCGGTTTTTTCTGAGGCTTTTAGCTTTAATCAAAAATTAAATAACTGGGGTGAA</t>
  </si>
  <si>
    <t>TCACACCATGGGAGCTGGTCACACCCGAAACCGTTTGCTTAACCGTTTGGAGAGCGGCGTCTAAGGTGGGGCTAGTGACTGGGGTGAA</t>
  </si>
  <si>
    <t>TCACATCATGAAAGCCGGTTGTACCCGAAGTCGCTGAGCCAACCCGCAAGGGAGGCAGGTGCCGAAGGTATGGCTGGTAATTGGGATGAA</t>
  </si>
  <si>
    <t>TCACACCATGGGAGTTGGGTTTACCCGAAGACGGTGCGCCAACCTTTCGAGGAGGCAGCTGGCCACGGTAAGCTCAGCGACTGGGGTGAA</t>
  </si>
  <si>
    <t>TCACACCATGGGAGCTGGTTATACCCGAAGTCGTTACTCTAACCATTTGGAGGAGGACGCCTAAGGTAGAATTAGTGACTAGGGTGAA</t>
  </si>
  <si>
    <t>TCACACCATGGAAGCTGGTTATACCCGAAGTAGTTACTCTAACCTTTTTGGAGGAGGGCTCCTAAGGTAGAATTAGTGACTGGGGTGAA</t>
  </si>
  <si>
    <t>TCAAGCCACGAAAGTCGGGGGCGCCCTAAGCCGATGTTGCTAACCTTCGGGAAGCAGTCGTCCACGGTGAAACCGATGATTGGGACTAA</t>
  </si>
  <si>
    <t>TCACACCATGGGAGTTGGTTCTACCTTAAGGCAAAGTTTAATACCTTTGACCACGGTATAGTCAGCGACTGGGGTGAA</t>
  </si>
  <si>
    <t>TCAAGCGATGGAAGTCAGGAGTACCTGATGTCGGCGTGCCAACCTTCGGGGGGTAGCTGCCTAGGGTAAGCCTGGTAACTGGCGCTAA</t>
  </si>
  <si>
    <t>TCAAGCCATGGAAGCTGGGAGAACCTGAAGTCGATAACCGCAAGGAGTCGCCTAGGGTTATACTAGTAACTGGGGCTAA</t>
  </si>
  <si>
    <t>TCAAGCCATGGAAGCTGGGGGCGCCTGAAGTCGGTCACCGAAAGGAGCTGCCTAGGGCGAATCTGGTAACTGGGGCTAA</t>
  </si>
  <si>
    <t>TCACACCATGGGAGTTGGTTCTACCCGACGACGCTGCGCTAACCTTCGGGAGGCAGGCGGCCACGGTAGGATCAGCGACTGGGGTGAA</t>
  </si>
  <si>
    <t>TCACACCATGGGAGTGGATTGCACCAGAAGTAGGTAGCCTAACTTCGGAGGGCGCTTACCACGGTGTGGTTCATGACTGGGGTGAA</t>
  </si>
  <si>
    <t>TCACACCATGGGAGTGGGCTGCACCAGAAGTCATTAGCTTAACCTTCGGGAGGGCGATGACCACGGTGTGGTTCATGACTGGGGTGAA</t>
  </si>
  <si>
    <t>TCACACCATGGAAGCTGTTCATGCCCAAAGTCGTTACCCTAACCGCAAGGAAGGGGGCGCCTAAGGTAGGGATAGTGACTGGGGTGAA</t>
  </si>
  <si>
    <t>TCACACCATGGGAGTTGGCCATACCCGAAGTTGTTACCTAAACCTTTTTGGACGGGGGCACCTAAGGTAGGACTAGCGACTGGGGTGAA</t>
  </si>
  <si>
    <t>TCAAGCGATGGAAGTCAGGAGTACCTGATGTCGGCGTGCTAACCTTCGGGGGGCAGCTGCCTAGGGTAAGCCTGGTAACTGGCGCTAA</t>
  </si>
  <si>
    <t>TCACACCATGGGAGTGGGCTGCAAAAGAAGTGGATAGCTTAACCTTCGGGAGGGCGTTCACCACTTTGTGGTTCATGACTGGGGTGAA</t>
  </si>
  <si>
    <t>TCACACCATGGAAGCTGGTTATACCCGAAGTCGTTTCTCTAACCTTTCGGAGGAGGATGCCTAAGGTAGAATTAGTGACTGGGGTGAA</t>
  </si>
  <si>
    <t>TCACACCATGGGAGCTGGTTATACCCGAAGTCGTTACTCTAACCTTTTGGAGGGGGGCGCCTAAGGTAGAATCAGTGACTGGGGTGAA</t>
  </si>
  <si>
    <t>TCAAGCCATGGAAGCTGGGTGTACCCGAAGACGATGACCGCAAGGAGTTGTCTAAGGTAAAACTAGTAACTGGGGCTAA</t>
  </si>
  <si>
    <t>TCGCTCCTACCGATTTCGGGTGGTCCGGTGAACCCTTTGGACCTACCTTTGGCCTTGAGCCACTAACTGGGAAGTCGAGTAAACCACATCACCTAGAGGAAGGAGAA</t>
  </si>
  <si>
    <t>TCACATCACGGAAGCTGGGTATGCCCGAAACCACTCTTTTAGGAATGTCTAAGGTAGATCTAGTGACTGGGGTGAA</t>
  </si>
  <si>
    <t>TCACACCATGGGAGCTGGTCATACCCAAAACCGTTAGCTTAACCGTTTGGAGAGCGGCGTCTAAGGTAGGGCTAGTGACTGGGGTGAA</t>
  </si>
  <si>
    <t>TCAAGCCACGAAAGTTGGGAGGGCCCGAAGTCGCTGAGCTAACTCGCAAGAGAGGCAGGCGCCGAAGGTCAGCTCGACAATTGGGACTAA</t>
  </si>
  <si>
    <t>TCACACCATGGAAGTGGATTGCACCAGAAGTAATTAGTTTAACCTTCGGGAGGACGGTTACCACGGTGTGGTTCATGACTGGGGTGAA</t>
  </si>
  <si>
    <t>TCACACCATGGAAGTTGGTTTTACCTTAAGGCATGTCACTAACCCTCGGGAAGTGCGTGACCACGGTATGATCGGCGACTGGGGTGAA</t>
  </si>
  <si>
    <t>TCACACCATGGGAGTCTGTTGCACCAGAAGTGGTTAGCCTAACCTTAGGGAGGGCGATCACCACGGTGTGGCCGATGACTGGGGTGAA</t>
  </si>
  <si>
    <t>TCACACCATGGAAGCTGGTCCCGTTCGAAACCGGGGTCCCGAAGGGGGTGCCCCGTTCAAAGCGAGACTGGTAACCAGGGTGAA</t>
  </si>
  <si>
    <t>TCAAGCCATGGGAGTTGGGTGGGCCTGAAGTCGGTGACCATTTAGGAGCCGCCAAAGGCAAAACCAGCGACTGGGGCTAA</t>
  </si>
  <si>
    <t>TCACACCATGGAAGCTGGTTATACCCGAAGTTGTTACCTTAACCATTTGGAGGGGGGCACCTAAGGTAGAATTAGTGACTGGGGTGAA</t>
  </si>
  <si>
    <t>TCACACCATGGAAGCTGGTTATACCCGAAGTCGTTACTCTAACCTTTTTTGGATGAGGATGCCTAAGGTAGAATTGGTGACTGGGGTGAA</t>
  </si>
  <si>
    <t>TCACACCATGGGAGTTGATCTTACCTGAAGCCGTGGCCCTAACTTCGGAGGGGAGCGTCTACGGTCGGATCGATGACTGGGGTGAA</t>
  </si>
  <si>
    <t>TCACACCATGGGAGTGGGTTGCACCAGAAGTAGATAGCTTAACCTTAGGGAGGGCGTTTACCACGGTGTGATTCATGACTGGGGTGAA</t>
  </si>
  <si>
    <t>TCAAACCATGGGAGTTGGGGGTGCCTGAAGGTGGTGGCCATAGAGGAGCTACCTAGGGTAAAACTGATAACTGGGGTTAA</t>
  </si>
  <si>
    <t>TCACACCATGGGAGTGGGTTGTACCAGAAGCAGGTAGTCTAACCTTCGGGAGGACGCCTACCACGGTATGATTCATGACTGGGGTGAA</t>
  </si>
  <si>
    <t>TCACACCATGGGAGTGGGTTCCACCAGAAGTAGCTAGCCTAACCGCAAGGAGGGCGGTTACCACGGTGAGATTCATGACTGGGGTGAA</t>
  </si>
  <si>
    <t>TCAAGCCATGGAAGCTGGGAGTGCCTGAAGTCGGTAACCGCAAGGAGCCGCCTAGGGTAAAACTAGTGACTGGGGCTAA</t>
  </si>
  <si>
    <t>TCAAACCATCTTAGTTGGGGGTGGGTGAGGCTGCGCTTCATGGAGTATTCGAGCCTGTCTTCGACAAGGAGGGTTAA</t>
  </si>
  <si>
    <t>TCAAACCATCTTAGTTGGGGGTGGGTGAGGCTGCGTTTAAATGGCGTATTCGAGCCTGCCTTCGACAAGGAGGGTTAA</t>
  </si>
  <si>
    <t>TCACATCATGGGAGTGGGTTGCACCAGAAGTAGCTAGTTTAACCTTCGGGAGAACGGTTACCACGGTGTGATTCATGACTGGGATGAA</t>
  </si>
  <si>
    <t>TCACACCACGAAAGTCGGTCTTACCCGAAGCAGCTGGGCTAACCCTTATGGGAGGCAGGTTTCTAAGGTAAGGTTGGTGATTGGGGTGAA</t>
  </si>
  <si>
    <t>TCAAGCCATGGAAGCTGGGGGTACCTGAAGTCGGTGACCGCAAGGAGCTGCCTAGGGTAAAACTGGTAACTGGGGCTAA</t>
  </si>
  <si>
    <t>TCACACCATGGGAGCTGGTCATACCCGAAACCGTTAGTTCAACCATTTGGAGAACGACGTCTAAGGTAGGGCTAGTGACTGGGGTGAA</t>
  </si>
  <si>
    <t>TCACACCATGGGAGTGGGTTTTACCAGAAGTAGTTAGTCTGACCGTAAGGGGGACGATTACCACGGTAGGATTCATGACTGGGGTGAA</t>
  </si>
  <si>
    <t>TCACACCATGGGAGTGGGTTGATCCAGAAGTGGATAGTCTAACCTTCGGGAGGACGTTCACCACGGAGTGATTCATGACTGGGGTGAA</t>
  </si>
  <si>
    <t>TCACACCATGGGAGTTGGATTCACCCGAAGGCGTTGCGCCAACCCAGCAATGGGAAGCAGGCGACCACGGTGGGTTCAGCGACTGGGGTGAA</t>
  </si>
  <si>
    <t>TCACACCATGGGAGTGGGTTGCAAAAGAAGTAGCTAGTCTAACCTTCGGGAGGGCGGTTACCACTTTGTGATTCATGACTGGGGTGAA</t>
  </si>
  <si>
    <t>TCACACCATGGGAGCTGGTCATACCCAAAACCGTTTGCTTAACCGTTTGGAGAGCGGCGTCTAAGGTAGGGCTAGTGACTGGGGTGAA</t>
  </si>
  <si>
    <t>TCAAGCCATGGAAGCTGGGGGTACCTGAAGTCGGTGACCGAAAGGAGCTGCCTAGGGTAAAACTAGTAACTGGGGCTAA</t>
  </si>
  <si>
    <t>TCACACCATGGAAGCTGTTCATACCCAAAGTCGTTACCTTAACCTCAAGGAGGGGGGCGCCTAAGGTAGGGATAGTGACTGGGGTGAA</t>
  </si>
  <si>
    <t>TCACTTGCAAAGAATCAGTTTCGCTTGAAGGTTTTTATAAAACCCATTGAGAGATCGATAATTTGGATGAA</t>
  </si>
  <si>
    <t>TCAAGCCATGGAAGCTGGGGGTGCCTGAAGTCGGTAACCGAAAGGAGCTGCCTAGGGTAAAACTAGTAACTGGGGCTAA</t>
  </si>
  <si>
    <t>TCACACCATGGAAGCTGGTTATGCCCGAAGTCATTATTCTAACCATTTTTGGAGGGAGATGCCTAAGGTAGAATTAGTGACTGGGGTGAA</t>
  </si>
  <si>
    <t>TCACACCACGAGAGTTGGTTGCACCTGAAGTAGCAGGCCTAACCGTAAGGAGGGATGTTCCTAAGGTGTGATTAGCGATTGGGGTGAA</t>
  </si>
  <si>
    <t>TCACGCCATGGGAGTTGGTTTTACCTTAAGCCGGTGCGCTAACCGCAAGGAAGCAGCCGTCCACGGTAGGGTCAGCGACTGGGGCGAA</t>
  </si>
  <si>
    <t>TCACACCATGGAAGTGTGTTGCACCAGAAGTAGGTAGTCTAACCTTCGGGAAGGCGCTTACCACGGTGTGATCCATGACTGGGGTGAA</t>
  </si>
  <si>
    <t>TCACACCATGGAAGCTGGTTATACCCGAAGTCATTACTCTAACCGTTTGGGGGAGGGTGCCTAAGGTAGAATTAGTGACTAGGGTGAA</t>
  </si>
  <si>
    <t>TCACACCATGGAAGCTGGTTATACCCGAAGTCGTTACTTTAACCGTTTGGAGAAGGACGCCTAAGGTAGAATTAGTGACTGGGGTGAA</t>
  </si>
  <si>
    <t>TCACACCATGGGAGTTGGTTTTACCCGAAGGCGATGTGCTAACTTCGGAGGCAGTCGACCACGGTAAGGTCAGCGACTGGGGTGAA</t>
  </si>
  <si>
    <t>TCACCCTCCTCAAGTACCACAGCAAAGCCCCAGCTTACTAACCCATGCTAAGCAACTATACGAGAGGAGACAA</t>
  </si>
  <si>
    <t>TCACACCCTGGGAATCGAAAGTATCTGAAGCTGTCGTTCTTAACTCGTAAGGGAGAGACGCTGTCACGGTAAAGTCTTTGACTGGGGTGAA</t>
  </si>
  <si>
    <t>TCACACCATGGGAGTGGGATGCAAAAGAAGTAGTTAGTCTAACCTTCGGGGGGACGATTACCACTTTGTGTTTCATGACTGGGGTGAA</t>
  </si>
  <si>
    <t>TCACACCATGGGAGTGGGTTGCTCCAGAAGTGGCTAGCTTAACCTTCGGGAGAGCGGTCACCACGGAGTGATTCATGACTGGGGTGAA</t>
  </si>
  <si>
    <t>TCACACCATGGGAGTGGGCTGCACCAGAAGTAGATAGCTTAACCTTCGGGGGGGCGTTTACCACGGTGTGGTTCATGACTGGGGTGAA</t>
  </si>
  <si>
    <t>TCACACCATGGAAGCTGGTTATGCCCGAAGTCGTCACTTTAACCGTTTGGAGAAGGGTGCCTAAGGTAGAATTAGTGACTGGGGTGAA</t>
  </si>
  <si>
    <t>TCAAGCCATGGAAGCTGGGGGTGCCTGAAGTCCGTCACCGTAAGGAGCGGCCTAGGGCAAGACTAGTAACTAGGGCTAA</t>
  </si>
  <si>
    <t>TCACACCATGGGAGCTGGTCATACCCGAAACCGTTAGTTTAACCTTTTGGAGAACGACGTCTAAGGTAGGGCTAGTGACTGGGGTGAA</t>
  </si>
  <si>
    <t>TCAAGCCATGGGAGTTGGGTGGACCTGAAGATGGTTGCTGTGAGGCGCTATTTAGGGTAAAACCAGCGACTGGGGCTAA</t>
  </si>
  <si>
    <t>TCAAGCCATGGAAGTCGGGGGTGCCTGAAGATGGTGACCTTATGAGGAGCTATCTAGGGTAAAACTGGTAACTAGGGCTAA</t>
  </si>
  <si>
    <t>TCAAACCATCTTAGTTGGGGGTGGGTGAGGCTACGTTTAAATGGCGTATTCGAGCCTGCCTTCGACAAGGAGGGTTAA</t>
  </si>
  <si>
    <t>TCACACCACGGAAGCTGGTTATACCCGAAGTCGTTATTTTAACCTTTTGGAGAAAGACGCCTAAGGTAGAACTAGTGACTGGGGTGAA</t>
  </si>
  <si>
    <t>TCACACCATGGGAGTGGGTTGCTCCAGAAGTGGCTAGTCTAACCTTCGGGAAGACGGTCACCACGGAGTGATTCATGACTGGGGTGAA</t>
  </si>
  <si>
    <t>TCACACCATGGGAGTTGACCGCTCCCGAAGTCGTGACCCCAACCTTGTGAGGGGAGCGCCTACGGAGAGGTCGGCGACTGGGGTGAA</t>
  </si>
  <si>
    <t>TCACACCATGGAAGCTGGTTATGCCCGAAGTCATTACTCTAACCATTTGGAGGAGGGTGCCTAAGGTAGAATTAGTGACTGGGGTGAA</t>
  </si>
  <si>
    <t>TCACGCCATGGGAGTTGGTTTTACCTTAAGCCGGTGCGCTAACCGTAAGGAGGCAGCCGTCCACGGTAGGGTCAGCGACTGGGGCGAA</t>
  </si>
  <si>
    <t>TCACACCATGGGAGTTGGCTTTACCTGAAGCCGGTGCGCTAACCTTAGGGAAGCAGCCGACCACGGTAGGGTCAGCGACTGGGGTGAA</t>
  </si>
  <si>
    <t>TCAAGCCATGGAAGCTGAGGGTACCCAACGTCCGTGACCCAACTTCGGAGGGAGCGGCCTAAGGTAAAATCAGTGACTGGGGCTAA</t>
  </si>
  <si>
    <t>TCAAGCCATGGAAGCTGGGAGTGCCTGAAGTCGGTAACCGCAAGGAGCCGCCTAGGGTAAAACTAGTAACTGGGGCTAA</t>
  </si>
  <si>
    <t>TCACATCATGAAAGTCGATTGTACCCGAAGTCGCCGAGTTAACCGCAAGGAGACAAGCGCCGAAGGTATGGTTGGTAATTGGGATGAA</t>
  </si>
  <si>
    <t>TCACACCATGGAAGCTGGTTATGCCCGAAGTCGTTACTCTAACCATTTGGAGGAGGATGCCTAAGGTAGAATTGGTGACTGGGGTGAA</t>
  </si>
  <si>
    <t>TCACACCATGGAAGCTGTTCATACCCAAAGTCGTTACCTTAACTGCAAGGAGGGGGGCGCCTAAGGTAGGGATAGTGACTGGGGTGAA</t>
  </si>
  <si>
    <t>TCACACCACGGGAATTGGCTACACCCAAAGCTATTACCTTAACCAATGATTAGGAGAGGGGTATCTAAGGTGGAGCTAATGACTGGGGTGAA</t>
  </si>
  <si>
    <t>TCACACCATGGGAGTGGGTTGCACCAGAAGTGGCTAGTCTAACCTTCGGGGGGACGGTCACCACGGTGTGATTCATGACTGGGGTGAA</t>
  </si>
  <si>
    <t>TCACACCATGGAAGTTGGTTACACCTTAAGGCAAAGCTAATACCTTTGACTACGGTACGATCAGCAACTGGGGTGAA</t>
  </si>
  <si>
    <t>TCACACCATGGGAGTTGGTTTTACCTTAAGCCGGTGAGTTAACCTTCGGGAGACAGCCGACCACGGTAAGGTCAGCGACTGGGGTGAA</t>
  </si>
  <si>
    <t>TCACACCATGGGAGTGGGTTTTACCAGAAGTGGCTAGTCTAACCGCAAGGAGGACGGTCACCACGGTAGGATTCATGACTGGGGTGAA</t>
  </si>
  <si>
    <t>TCACACCATGGGAGTGGGTTGCTCCAGAAGTAGCTAGTCTAACCTTCGGGGGGACGGTTACCACGGAGTGATTCATGACTGGGGTGAA</t>
  </si>
  <si>
    <t>TCACCCTCCTCAAGTACCATAGCATAAGCCCCAGATCACTAACCCACGCTAAGCAAGCGTACAAGAGGGGACAA</t>
  </si>
  <si>
    <t>TCACGCCATGGAAGCCGGGAGTGCCCGAAGTCCGTGACCCAACCCTCGGGAGGGAGCGGCCGAAGGCAAATTCGGTAACTGGGGCGAA</t>
  </si>
  <si>
    <t>TCACACCATGGGAGTGGGTTGCTCCAGAAGTGGCTAGTCTAACCTTCGGGAGGACGGTCACCACGGAGTGATTCATGACTGGGGTGAA</t>
  </si>
  <si>
    <t>TCACACCATGGAAGCTGTCCATACCCAAAGTCGTTACCTTAACCGTAAGGAGGGGGGCGCCTAAGGTAGGGATAGTGACTGGGGTGAA</t>
  </si>
  <si>
    <t>TCACCCTCCTCAAGTACTATGACAAAACCACAACTTATTAACATATACTAGTCAATTATAGGAGAGGAGATAA</t>
  </si>
  <si>
    <t>TCACACCATGGGAGTGGATTGCACCAGAAGTGGTTAGTCTAACCTTCGGGAGGACGATCACCACGGTGTGGTTCATGACTGGGGTGAA</t>
  </si>
  <si>
    <t>TCACACCACGAAAGTCGGCAACACCCGAAGTCTGTGGCCTAACCCTTAGGGGAAGGAGCAGCCGAAGGTGGGGTTGGCGATTGGGGTGAA</t>
  </si>
  <si>
    <t>TCACACCATGGAAGCTGGTTATACCCGAAGTCGTTTCTCTAACCTTTTTGGAGGAGGATGCCTAAGGTAGAATTAGTGACTGGGGTGAA</t>
  </si>
  <si>
    <t>TCATACCATGGGAGTGGGTTGCACCAGAAGTGGCTAGTCTAACTTCGGAGGACGGTCACCACGGTGTGATTCATGACTGGGGTAAA</t>
  </si>
  <si>
    <t>TCACACCATGGGAGCTGGCTATACCCGAAGCTATTGCCTAAACCATTAGGAGCGGCATATCGAAGGTAGAGCTGGTGACTGGGGTGAA</t>
  </si>
  <si>
    <t>TCACATCATGAAAGCCGGTTTTGCCCGAAGTACGTGCGCTAACTTCGGAAGCAGCGTCCTAAGGCAGGGCTGGTGATTGGGATGAA</t>
  </si>
  <si>
    <t>TCACACCATGGGAGTTGACCGTGCCCGAAGTCGTGACCCCAACCTTTATGGAGGGGAGCGCCTACGGTGAGGTCGGCGACTGGGGTGAA</t>
  </si>
  <si>
    <t>TCACACCATGGGAGTTGGTCTTACCCGACGGCGCTGCGCCAACCGCAAGGAGGCAGGCGACCACGGTAGGGTCAGCGACTGGGGTGAA</t>
  </si>
  <si>
    <t>TCACACCATGGGAGTGGATTGCACCAGAAGTAGTTAGTCTAACCTTCGGGAGGACGATTACCACGGTGTGGTTCATGACTGGGGTGAA</t>
  </si>
  <si>
    <t>TCACGTCACGAAAGTCGGCAACACCCGAAGCCGGTGGCCCAACCCTTGTGGAGGGAGCCGTCGAAGGTGGGGCTGGCGATTGGGACGAA</t>
  </si>
  <si>
    <t>TCACACCATGGGAGTGGGTTGCAAAAGAAGTAGGTAGCTTAACCTTCGGGAGGGCGCTTACCACTTTGTGATTCATGACTGGGGTGAA</t>
  </si>
  <si>
    <t>TCACACCATGGAAGCTGGTTATACCCGACGTCGTTATCCTAACCGTTTGGAGGGAGGCGCCTAAGGTAGAATTAGTGACTAGGGTGAA</t>
  </si>
  <si>
    <t>TCACACCATGGGAGTTGGTTCTACCCGAAGCCGGTGCGCTAACCGTAAGGAGGCAGCCGACCACGGTAGGGTCAGCGACTGGGGTGAA</t>
  </si>
  <si>
    <t>TCACACCACGAAAGCTGGTTGAACCAGAAGTCCGTGACCCAACCTTCGGGAGGGAGCGGCCCAAGGTTTGACTGGTGATTGGGGTGAA</t>
  </si>
  <si>
    <t>TCACACCATGGGAGTGGGTTGCAAAAGAAGTAGCTAGGCTAACCTTCGGGGGGCCGGTTACCACTTTGTGATTCATGACTGGGGTGAA</t>
  </si>
  <si>
    <t>TCACACCATGGGAGCGGGTTCTGCCAGAAGTAGGTAGCCTAACCGTAAGGAGGGCGCTTACCACGGCAGGGTTCGTGACTGGGGTGAA</t>
  </si>
  <si>
    <t>TCAAGCCATGGAAGCTGGGGGTACCTAAAGTCGGTGACCGAAAGGAGCTGCCTAGGGTAAAACTAGTGACTGGGGCTAA</t>
  </si>
  <si>
    <t>TCACACCACGAAAGTTGGCTGGACCCGAAGTCGTTAACCCAACCTTTTAGGAGGGATGCGCCGACGGTCTGGTCGATGATTGGGGTGAA</t>
  </si>
  <si>
    <t>TCACACCCTGGGAATCGAAAGTATCTGAAGCTGTCGTTCTTAACCCGAAAGGGAGAGACGCTGTCACGGTAAAGTCTTTGACTGGGGTGAA</t>
  </si>
  <si>
    <t>TCACACCATGGGAGTGGGTTGCAAAAGAAGTGGGTAGTCTAACTTCGGAGGACGCTCACCACTTTGTGATTCATGACTGGGGTGAA</t>
  </si>
  <si>
    <t>TCACACCATGGGAGTTGGTTTTACCCGAAGACGATATCCTAACCTTTTGGAGGGAGTCGGCCACGGTAGGGTCAGCGACTGGGGTGAA</t>
  </si>
  <si>
    <t>TCACACCATGGGAGCTGGTCATACCCGACACCGTTAGTCTAACCATTAGGAGGACAGCGTCTAAGGTAGGGCTAGTGACTGGGGTGAA</t>
  </si>
  <si>
    <t>TCACACCCTGGGAATCGAAAGTATCTGAAGCTGTCGTTCTTAACCCGAAAGGGAGAGACGCTGTCACGGTAAAGTCCTTGACTGGGGTGAA</t>
  </si>
  <si>
    <t>TCAAGCCATGGAAGTTTGGGGTACCTGAAGTCAGTAACCGCAAGGAACTGCCTAGGGTAAAACAAATAACTAGGGCTAA</t>
  </si>
  <si>
    <t>TCACCCTCCTCAAGTGCCATAGCAAAGCCCCAGATTGGTAACCCATGCTAAGCAAGCGTACAAGAGGAGACAA</t>
  </si>
  <si>
    <t>TCACACCATGGAAGCTAGCCACACCCAAAGTCGTTACCTTAACCGTTTGGAGGGGGGCGCCTAAGGTTGGGTTAGTGACTGGGGTGAA</t>
  </si>
  <si>
    <t>TCAAGCCATGGAAGCTGGGGGTACCTGAAGTCGGTGACCGCAAGGAGCTGCCTAGGGTAAAACCGGTAACTGGGGCTAA</t>
  </si>
  <si>
    <t>TCAAACCCTGGGAATCGAAAGTGCCCGAAGCTGTTGTTCTTAACCTGTAAAGGAGAGACACTGTTAAGGTAAAGTCTTTGACTGGGGTTAA</t>
  </si>
  <si>
    <t>TCACACCATGGGAGTGGGTTGCACCAGAAGTGGCTAGTCTAACTTAGGAGGACGGTCACCACGGTGTGATTCATGACTGGGGTGAA</t>
  </si>
  <si>
    <t>TCAAGCGATGGAAGTCAGGAGTACCTGATGTCGGCGTGCTAACCTTCGGGAGGCAGCTGCCTAGGGTAAGCCTGGTAACTGGCGCTAA</t>
  </si>
  <si>
    <t>TCACACCATGGGAGTTGATTGCACCAGAAGTGGTTAGCCTAACTTAGTGAGGGCGATCACCACGGTGTGGTTGATGACTGGGGTGAA</t>
  </si>
  <si>
    <t>TCACACCACGAAAGTTGAATTGACCCGAAGTCGTGCACCTAACCCTTGTGGAGGGAAGCGCCTACGGTTGGTTCGATGATTGGGGTGAA</t>
  </si>
  <si>
    <t>TCATACCATGGAAGCTGGTTATGCCCGAAGTCATTACTCTAACCGTTTGGAGGAGGGTGCCTAAGGTAGAATTAGTGACTGGGGTAAA</t>
  </si>
  <si>
    <t>TCAGCCTCCTCAAGTGCCATAGCAAAGCCCCAGATCGCTAACCCATGCTAAGCAACCGTACAAGAGGAGACAA</t>
  </si>
  <si>
    <t>TCAAGCCATGGAAGCTGGGGGTGCCTGAAGTCGGTTACCGCAAGGAGCTGCCTAGGGTAAAACTGGTAACTAGGGCTAA</t>
  </si>
  <si>
    <t>TCACACCATGGGAGTTGACAGGGGCAGAAGCCGCCGAGCCAACCTTCGGGAGGCAGGCGTCCAAGCTCCGGTTGATGACTGGGGTGAA</t>
  </si>
  <si>
    <t>TCAAGCCATGGAAGCTGGGGGTGCCTGAAGTCCGTCACCGAAAGGAGCGGCCTAGGGCAAAACTAGTAACTAGGGCTAA</t>
  </si>
  <si>
    <t>TCACACCATGGAAGTTGGCCATGCCCGAAGTCGTTACTCCAACCCTTGTGGAGGAGGACGCCGAAGGTGGGGCTAATGACTGGGGTGAA</t>
  </si>
  <si>
    <t>TCGTTCCATCCAAGTCGGGTCTAGATGAGGCTTAGTCTCATTGGCCATGTCGAATCTGGGTTCGGTAAGGGGGGAAAA</t>
  </si>
  <si>
    <t>TCACATCCTGGGAATCGAAAGTACCTGAAGCTGTCGTTCTTAACCCGCAAGGGAGAGGCGCTGTTACGGTAAAGTCTTTGACTGGGATGAA</t>
  </si>
  <si>
    <t>TCACACCATGGGAGCTGGTCATACCCGAAACCGTTTGCTTAACCGTTTGGAGGGCGACGTCTAAGGTAGGGCTAGTGACTGGGGTGAA</t>
  </si>
  <si>
    <t>TCACACCATGGAAGCTGGTTATACCCGAAGTCGTTACTCTAACCTTTTGGAGGAGGATGCCTAAGGTAGAATTGGTGACTGGGGTGAA</t>
  </si>
  <si>
    <t>TCACACCATGGGAGCTGGTCATACCCAATACCGTTAGTTTAACCATTAGGAGGACGGCGTTTAAGGTAGGGCTAGTGACTGGGGTGAA</t>
  </si>
  <si>
    <t>TCATACCATGGGAGTGGGTTGCACCAGAAGTGGCTAGTCTAACTTAGTGAGGACGGTCACCACGGTGTGATTCATGACTGGGGTAAA</t>
  </si>
  <si>
    <t>TCACATCATGAAAGCCGGTTCTGCCCGAAGTACGTGCGTTAACTTCGGAGACAGCGTCCTAAGGTAGGGCTGGTGATTGGGATGAA</t>
  </si>
  <si>
    <t>TCACACCATGAGAGTTGGCAATACCCGAAGTCCGTGAGCTAACCGCAAGGAGGCAGCGGCCGAAGGTAGGGTCAGCGATTGGGGTGAA</t>
  </si>
  <si>
    <t>TCACACCATGGGAGTGGGCTGCAAAAGAAGTGGGTAGCATAACCTTCGGGAGTGCGCTCACCACTTTGTGGTTCATGACTGGGGTGAA</t>
  </si>
  <si>
    <t>TCACACCATGGGAGTTGGTTTCACCCGAAGGCGCTGCGCTAACCGCAAGGGGGCAGGCGACCACGGTGTGATTAGCGACTGGGGTGAA</t>
  </si>
  <si>
    <t>TCACACCATGGGAGCTGGTCATACCCGAAACCGTTTGCTTAACCATCTGGAGAGCGGCGTCTAAGGTAGGGCTAGTGACTGGGGTGAA</t>
  </si>
  <si>
    <t>TCACACCATGGGAGTGGGCTGTACCAGAAGTAGGTAGTCTAACCTTCGGGAGGACGCTTACCACGGTATGGTTCATGACTGGGGTGAA</t>
  </si>
  <si>
    <t>TCACACCATGGGAGTTGGTTCTACCCGACGACGCTGCGCTAACCTTCGGGGGGCAGGCGGCCACGGTAGGATCAGCGACTGGGGTGAA</t>
  </si>
  <si>
    <t>TCACACCATGGGAGCTGGTCATACCCGATACCGTTTGCTTAACCATTTGGAGAGCGACGTCTAAGGTAGGGCTAGTGACTGGGGTGAA</t>
  </si>
  <si>
    <t>TCAAGCCATGGAAGCTGGGGGTGCCTGAAGTCGGTCACCGCAAGGAGCCGCCTAGGGTAAAACTAGTAACTAGGGCTAA</t>
  </si>
  <si>
    <t>TCAAGCCATGGAAGCTGGGGGTACCTGAAGTCGGTAACCGTAAGGAGCTGCCTAGGGTAAAACTAGTAACTAGGGCTAA</t>
  </si>
  <si>
    <t>TCACACCATGGGAGTTGGTTGGACCAGAAGTCGTGGACGAACCCTTCGGGGAGGAAAGCGCCCAAGGTCTGATGAGCGACTGGGGTGAA</t>
  </si>
  <si>
    <t>TCACACCATGGGAGCTGGTTACGCCCGAAGCTATTATCCTAACCATTTGGAGGGAGGTATCGAAGGTGGAATTGGTGACTGGGGTGAA</t>
  </si>
  <si>
    <t>TCACACCATGGGAGTGGGTTGCACCAGAAGTAGATAGCTTAACCTTCGGGAGGGCGTTTACCACGGTGTGATTCATGACTGGGGTGAA</t>
  </si>
  <si>
    <t>TCACACCATGGAAGCTAGCCATACCCAAAGTCGTTACCTTAACCTTTTGGAGGGGGGCGCCTAAGGTAGGGTTAGTGACTGGGGTGAA</t>
  </si>
  <si>
    <t>TCACGCCCGGAAAGACAGCTTTGCTTGAAGAAATGTTGGCAAACGCGCATCCTGTAGCGAGTAGCCGGCTTTTGATAGTGGGGTCGACGATCGGGGCGAA</t>
  </si>
  <si>
    <t>TCACACCATGGGAGTGGGTTGCACCAGAAGTAGCTAGTCTAACCTTCGGGAGGACGGTTACCACGGTGTGATTCATGACTGGGGTGAA</t>
  </si>
  <si>
    <t>TCACACCACGAAAGTTGGCTGGACCCGAAGCCGGTGACCCAACCCTCTGGGAGGGAGCCGTCAACGGTCTGGTCGATGATTGGGGTGAA</t>
  </si>
  <si>
    <t>TCACACCATGGGAGTTGGTTTTACCTGAAGCTGGTTCGCTAACCGTAAGGAGGCAGCCAACCACGGTAAGATTAGCGACTGGGGTGAA</t>
  </si>
  <si>
    <t>TCACACCATGGGAGTTGGTTCTACCTTAAGGCAAAGTTTAAAACCTTTGACCACGGTATAGTCAGCGACTGGGGTGAA</t>
  </si>
  <si>
    <t>TCACACCATGGGAGTTGGTTCTACCCGACGACGCTGCGCTAACCTTCGGGGGGCAAGCGGCCACGGTAGGATCAGCGACTGGGGTGAA</t>
  </si>
  <si>
    <t>TCAAACCATCTTAGTTGGGGGTGGGTGAGGCTGCGCTTCATGGCGTATTCGAGCCTGCCTTCGACAAGGAGGGTTAA</t>
  </si>
  <si>
    <t>TCACACCATGGGAGTGGGTTGTACCAGAAGTAGATAGCTTAACCTTCGGGAGGGCGTTTACCACGGTATGATTCATGACTGGGGTGAA</t>
  </si>
  <si>
    <t>TCACACCATGGAAGCCGGTTATACCCGAAGTCGTTACTCCCTCTTTTTAGAGGTCGGACGCCTAAGGTAGAATTAGTGACTGGGGTGAA</t>
  </si>
  <si>
    <t>TCACACCATGGAAGTTGGTTTTACCCAAAGACGACAAGCTAACCGCAAGGAAGCAGTCGGCCACGGTAAGGTCAGCGACTGGGGTGAA</t>
  </si>
  <si>
    <t>TCATACCATGGAAGTGGATTGCACCAGAAGTAGATAGTCTAACCTTCGGGAGGGCGTTTACCACGGTGTGCTTCATGACTGGGGTAAA</t>
  </si>
  <si>
    <t>TCACACCATGGGAGTGGTTTGCACCAGAAGTAGCTAGCCTAACTTAGGAGGGCGGTTACCACGGTGTGACTCATGACTGGGGTGAA</t>
  </si>
  <si>
    <t>TCAAGCCATGGAAGCCGGGGGTGCCTGAAGTCTGTAACCGCAAGGAGCGGCCTAGGGCAAGACTGGTAACTAGGGCTAA</t>
  </si>
  <si>
    <t>TCACACCACGAAAGTTGGGTGGACCCGAAGTCGTTGGCCTAACCTCGGAAGGAGGCGCCTACGGTCTGCTCGATGATTGGGGTGAA</t>
  </si>
  <si>
    <t>TCACACCATGGAAGCTAGCCACACCCAAAGTCGTTACCTTAACCTTTTGGAGGGGGGCGCCTAAGGTGGGACTAGTGACTGGGGTGAA</t>
  </si>
  <si>
    <t>TCACACCATGGAAGTTGGCCACGCCCGAAGTCGTTACTCCAACCCTCTGGGAGGAGGACGCCGAAGGTGGGGCTGATGACTGGGGTGAA</t>
  </si>
  <si>
    <t>TCACACCATGGGAATTGGCTTTACCCGAAGGTAGTGTGCTAACCGCAAGGAGGCAGCTAACCACGGTAAGGTCAGTAACTGGGGTGAA</t>
  </si>
  <si>
    <t>TCAAGCCATGGAAGCTGGGAGAACCTGAAGTCGATAACCGTAAGGAGTCGCCTAGGGTTATACTAGTAACTGGGGCTAA</t>
  </si>
  <si>
    <t>TCACACCATGGGAGTGGATTGCACCAGAAGTAGCTAGCTTAACCTTCGGGAGGGCGGTTACCACGGTGTGGTTCATGACTGGGGTGAA</t>
  </si>
  <si>
    <t>TCACACCATGGGAGCTGGTCATACCCGATACCGTTTGCTTAACCGTTTGGAGAGCGACGTCTAAGGTAGGGCTAGTGACTGGGGTGAA</t>
  </si>
  <si>
    <t>TCACACCATGGGAGTGGGATGCAAAAGAAGTAGCTAGTCTAACCTTCGGGAGGACGGTTACCACTTTGTGTTTCATGACTGGGGTGAA</t>
  </si>
  <si>
    <t>TCACACCATGGGAGCTGGCCATGCCCGAAGTTGTTACCCTAACCGTTTGGAGGGGGATGCCTAAGGCAGGGCTAGTGACTGGGGTGAA</t>
  </si>
  <si>
    <t>TCAAACCATCTTAGTTGTGGGTGGGTGAGGCTACCTCTTCTTGGGGTATTCGAGCCTGCCTTCGACAAGGAGGGTTAA</t>
  </si>
  <si>
    <t>TCACACCATGGAAGCTGTTCATGCCCAAAGTCGTTACCTTAACCGCAAGGAGGGGGGCGCCTAAGGTAGGGATAGTGACTGGGGTGAA</t>
  </si>
  <si>
    <t>TCACACCATGGGAGTTGGTTTTACCTGAAGACGGTGCGCTAACCGCAAGGAGGCAGCCGGCCACGGTAGGGTCAGCGACTGGGGTGAA</t>
  </si>
  <si>
    <t>TCAAGCCATGGAAGCTGGGGGTGCCTGAAGTCGGTAACCGTAAGGAGCTGCCTAGGGTAAAACTAGTAACTGGGGCTAA</t>
  </si>
  <si>
    <t>TCACACCATGGGAGTGGGTTTTACCAGAAGTAGTTAGTCTGACCGCAAGGGGGACGATTACCACGGTAGGATTCATGACTGGGGTGAA</t>
  </si>
  <si>
    <t>TCAAACCATCTTAGTTGGGGGTGGGTGAGGCTGCCTTTTAGTGGGGTATTCGAGCCTGCTTTCGACAAGGAGGGTTAA</t>
  </si>
  <si>
    <t>TCAAGCCATGGAAGCTGGGGGCGCCTGAAGTCGGATACCGCAAGGGTCTGCCTAGGGCGAAACTGGTAACTGGGGCTAA</t>
  </si>
  <si>
    <t>TCAAGCCATGGAAGTCGGGGGTGCCTGAAGTCGGTAACCGCAAGGAGCCGCCTAGGGCAAAACTGGTAACTGGGGCTAA</t>
  </si>
  <si>
    <t>TCACACCCTGGGAATCGAAAGTATCTGAAGCTGTTGTTCTTAACCCGTAAGGGAGAGACGCTGTGACGGTAAAGTCCTTGACTGGGGTGAA</t>
  </si>
  <si>
    <t>TCAAACCACCTTAGTTGGGTCTGGACGAGGGTTTGTCTTCTGACACGCTCGAATCTGGGTTCAGCGAGGAGGGTTAA</t>
  </si>
  <si>
    <t>TCAAGTCACGGAAGTCGGCAATACCCGAAGCCAGTGGTCCAACCCTTTTAGGGAGGAAGCTGTCGAAGGTAGGGTCGGTAACTGGGACTAA</t>
  </si>
  <si>
    <t>TCACACCATGGAAGCTGGTTATACCCAAAGTCGTTACTCTAACCTTTTTGGAGGAGGATGCCTAAGGTAGGATTAGTGACTGGGGTGAA</t>
  </si>
  <si>
    <t>TCACACCATGGGAGTTGGGTCTACCCGAAGGCCGTGCGCTGACCTTGGAGGCAGCGGACCACGGTAGGCTCAGCGACTGGGGTGAA</t>
  </si>
  <si>
    <t>TCACACCACGGAAATTAGCTACACCCAAAGCTATTACCTTAACCATTACTTGTGGAGAGGGGTATCTAAGGTGGAGTTAATAACTGGGGTGAA</t>
  </si>
  <si>
    <t>TCACACCCTGGGAATCGAAAGTATCTGAAGCTGTTGTTCTTAACCCGAAAGGGAGAGACGCTGTGACGGTAAAGTCTTTGACTGGGGTGAA</t>
  </si>
  <si>
    <t>TCACACCATGGAAGCTGGTTATACCCGAAGTCGTTACTCTAACCGTTTGGAGGAGGATGCCTAAGGTAGAATTAGTGACTAGGGTGAA</t>
  </si>
  <si>
    <t>TCACACCACGGAAGTTGGGGGCGCCCGAAGCCACTTAGCTAACCTTTTGGAAGCGAGTGTCGAAGGTGAAATCAATAACTGGGGTGAA</t>
  </si>
  <si>
    <t>TCACACCATGGGAGTGGATTGCACCAGAAGTGGTTAGTCTAACCTTCGGGGGGACGATCACCACGGTGTGGTTCATGACTGGGGTGAA</t>
  </si>
  <si>
    <t>TCACACCATGGGAGCTGGCTATGCCCAAAGTTGTTACCCTAACCTTCGGGAGGGGGATGCCTAAGGCAGAGCTGGTGACTAGGGTGAA</t>
  </si>
  <si>
    <t>TCACACCACGAGAGTTGATTGGACCGGAAGCCGGTGGCCTAACCTTCGGGAGGGAGCCGTCGATGGTCTGGTTGGCGATTGGGGTGAA</t>
  </si>
  <si>
    <t>TCAAGCCATGGGAGTTGGGTGGACCTGAAGATGGTTGCTGTAAGGCGCTATTTAGGGTAAAACCAGCGACTGGGGCTAA</t>
  </si>
  <si>
    <t>TCACACCATGGGAGTTGGTTTTACCCGAAGACGGTGTGCTAACCTTTTGGAAGCAGCCGGCCACGGTAAGGTCAGCGACTGGGGTGAA</t>
  </si>
  <si>
    <t>TCACACCATGGGAGTTGACAGGGGCAGAAGACGTTGAGCTAACCGCAAGGAAGCAGACGTCCAAGCTCTTGTCGATGACTGGGGTGAA</t>
  </si>
  <si>
    <t>TCACACGCTGGAAGTTCGTTTTTTTTGAAGATTTGATTGAAACGTCGTGTTTGATTAACACGGTGAACAGTTAACTCCATAAAAGAGCAAATGACTAGAGTGAA</t>
  </si>
  <si>
    <t>TCACACCATGGGAGTGGGTTGCTCCAGAAGTGGTTAGCCTAACCTTCGGGAGGGCGATCACCACGGAGTGATTCATGACTGGGGTGAA</t>
  </si>
  <si>
    <t>TCAAACCATCTTAGTTGGGGGTGGGTGAGGCTGCGTTCTTTTGGCGTATTCGAGCCTGCCTTCGACAAGGAGGGTTAA</t>
  </si>
  <si>
    <t>TCACACCATGGGAGTGGGTTGCTCCAGAAGTGGTTAGTCTAACCTTCGGGAGGGCGATCACCACGGAGTGATTCATGACTGGGGTGAA</t>
  </si>
  <si>
    <t>TCAAACCCTGGGAATCGAAAGTGCCCGAAGCTGATGTTCTTAACCTGTAAAGGAGAGACACTGTTAAGGTAAAGTCTTTGACTGGGGTTAA</t>
  </si>
  <si>
    <t>TCACACCATGGGAGCTGGTCATACCCAATATCGTTAGCCTAACCATTCGGAGGGCGGCGCTTAAGGTAGGGCTAGTGACTGGGGTGAA</t>
  </si>
  <si>
    <t>TCACCCTCCTCAAGTGCCATAGCATAAGCCCCAGATCGCTAACCCACGCTAAGCAAGCGTACAAGAGGAGACAA</t>
  </si>
  <si>
    <t>TCACACCATGGGAGTTGATTGGACCAGAAGTCGTTAAGCCAACCCTTCGGGGAGGCAGACGCCCAAGGTCTGATGAGCGACTGGGGTGAA</t>
  </si>
  <si>
    <t>TCACACCATGGGAGTTGGCTTTACCCGAAGCCGGTGCGCTAACCGCAAGGAAGCAGCCGACCACGGTAAGGTCAGCGACTGGGGTGAA</t>
  </si>
  <si>
    <t>TCGCACCATGAGAGTTGAGCTTTAACAAAGTGAGATAAAATCCATTAGTTAGAGAGCAATGATTGGGGTTAA</t>
  </si>
  <si>
    <t>TCACATCATGGGAGTTGGTTTCACCCGAAGATCGTGCGCTAACCTTTGGAGGCAGCGAGCCACGGTGGGATCAGCGACTGGGATGAA</t>
  </si>
  <si>
    <t>TCACACCATGGGAGTGCATTGCACCAGAAGTAGATAGCTTAACCTTCGGGATGGCGTTTACCACGGTGTGGTCCATGACTGGGGTGAA</t>
  </si>
  <si>
    <t>TCACATCAAGAAAGCCGGTTCTGCCCGAAGTACGTGAGTTAACCGCAAGGAGACAGCGTCCTAAGGTGGGGCTGGTGATTTGGATGAA</t>
  </si>
  <si>
    <t>TCACACCATGGGAGCTGATTATGCCCGAAGCTGCTCACTTAACCTTCGGGAGAGGAGTATCGAAGGTAGAATTGGTGACTGGGGTGAA</t>
  </si>
  <si>
    <t>TCACACCACGAAAGTTGGGTGGACCCGAAGTCGTTGACCTAACCCTTAGGGAAGGAGGCGCCTACGGTCTGACCGATGATTGGGGTGAA</t>
  </si>
  <si>
    <t>TCACACCATGGGAGTTGTTTTCATCCAACAACGTGACTCTAACCTTCGGGAGGAGAGCGTTTACGGTGGGAGCGATGACTGGGGTGAA</t>
  </si>
  <si>
    <t>TCACACCATGGGAGCTGGTTATGCCCGAAGCCGTTACTCTAACCTTTTGGAGGAGGACGTCTAAGGTAGAATTAGTGACTAGGGTGAA</t>
  </si>
  <si>
    <t>TCACCCTCCTCAAGTACCATAGCATAAGCCCCAGATTGATAACCCATGCTAAGCAAGCGTACAAGAGGAGACAA</t>
  </si>
  <si>
    <t>TCACACCATGGGAGTTGGGTTTACCCGAAGGCCGTGCGCCAACCTTTCGAGGAGGCAGCGGACCACGGTGAGCTCAGCGACTGGGGTGAA</t>
  </si>
  <si>
    <t>TCACACCATGGGAGTTGACCGCGCCCGAAGCCGTGACCCCAACCGCAAGGAGGGGAGCGTCTACGGCGAGGTCGGCGACTGGGGTGAA</t>
  </si>
  <si>
    <t>TCACACCATGGGAGTTGGTTTTACCCGAAGGTAGTGCGCTAACCGCAAGGAGGCAGCTAACCACGGTAGGGTCAGCGACTGGGGTGAA</t>
  </si>
  <si>
    <t>TCACACCATGGAAGCTGGTTATGCCCGAAGTCGTTACTCTAACCTTTTGGAGGAGGGCGCCTAAGGTAGAATTAGTGACTGGGGTGAA</t>
  </si>
  <si>
    <t>TCACACCATGGGAGCTGGTCATACCCGAAACCGTTAACTTAACCATTCGGAGAGTGGCGTCTAAGGTAGGGCTAGTGACTGGGGTGAA</t>
  </si>
  <si>
    <t>TCACACCATGGGAGTTGGTTTTACCCGAAGACGGTATCCTAACCTTTTTGGAGGGAGCCGGCCACGGTAGGGTCAGCGACTGGGGTGAA</t>
  </si>
  <si>
    <t>TCACATCCCGGAAATCGAAAGTATCTGAAGCTTTTGTCCTTAACCCTTTTGGGAGAGGCACTGCCACGGTAAGTTCCTTGACTGGGATGAA</t>
  </si>
  <si>
    <t>TCACACCATGGAAGCTGGTTATACCCGAAGTCGTCACTCTAACCGTTTGGAGGAGGATGCCTAAGGTAGAATTAGTGACTAGGGTGAA</t>
  </si>
  <si>
    <t>TCACACCATGGGAGTTGGCTTTACCTGAAGCCGGTGCGCTAACCTTAGGGGAGCAGCCGACCACGGTAGGGTCAGCGACTGGGGTGAA</t>
  </si>
  <si>
    <t>TCACACCATGGGAGTGGATTGCACCAGAAGTAGTTAGTCTAACCTTCGGGGGGACGATTACCACGGTGTGGTTCATGACTGGGGTGAA</t>
  </si>
  <si>
    <t>TCACACCATGGGAGTGTATTGCACCAGAAGTGGGTAGTCTAACCTTCGGGAGGGCGCTCACCACGGTGTGGTCCATGACTGGGGTGAA</t>
  </si>
  <si>
    <t>TCACACCATGGAAGTTGGTTTTACCCAAAGACGATAAGCTAACCGCAAGGAGGCAGTCGGTTACGGTAAGGTCAGCGACTGGGGTGAA</t>
  </si>
  <si>
    <t>TCACACCATGGAAGCTGGTTATACCCGAAGTCATTACTCTAACCATTCGGAGGAGGGTGCCTAAGGTAGAATTAGTGACTGGGGTGAA</t>
  </si>
  <si>
    <t>TCACACCATGGGAGTTGATTGGACCAGAAGTCGTCGAGCTAACCTTCGGGAGGCAGGCGCCCAAGGTCTGATGAGCGACTGGGGTGAA</t>
  </si>
  <si>
    <t>TCACACCATGGAAGCTGGTTATGCCCGAAGTCATTACTCTAACCGTTTGGAGGAGGGTGCCTAAGGTAGAATTAGTGACTGGGGTGAA</t>
  </si>
  <si>
    <t>TCACACCATGGAAGTTGGTTACACCTTAAGGCAGAGCTTATACCTCTGACTACGGTACGATCAGCAACTGGGGTGAA</t>
  </si>
  <si>
    <t>TCACACCATGGGAGCTGGTCATACCCAATACCGTTAGCTTAACCGTTTGGAGAGCGACGTCTAAGGTAGGGCTAGTGACTGGGGTGAA</t>
  </si>
  <si>
    <t>TCAAGCCATGGGAGTTGGGTATGCCTGAAGATGGTTGCTGTGAGGCGCTGTTTAGGGCAGAACTAGCGACTGGGGCTAA</t>
  </si>
  <si>
    <t>TCACACCATGGGAGCTGGTCACACCCGAAACCGTTTGCTTAACCGTTTGGAGAGCGGCGTCTAAGGTAGGGCTAGTGACTGGGGTGAA</t>
  </si>
  <si>
    <t>TCAAACCATCTTAGTTGGGGGTGGGTGAGGCTACCTTCTCGTGGGGTATTCGAGCCTGCCTTCGACAAGGAGGGTTAA</t>
  </si>
  <si>
    <t>TCACCCTCCTCAAGTATCATAGCAAAGCCCCAGTTCACTAACCCATGCTAAGCAACTATACAAGAGGAGACAA</t>
  </si>
  <si>
    <t>TCACACCACGAAAGCAAGCAACACCCGAAGTCGGTGAGCTAACCCTCTGGGAGGCAGCCGCCGAAGGTGGGGCTCGTGATTGGGGTGAA</t>
  </si>
  <si>
    <t>TCACACCATGGGAGTGGGTTGCTCCAGAAGTGGATAGTCTAACCTTCGGGAGGACGTTCACCACGGAGTGATTCATGACTGGGGTGAA</t>
  </si>
  <si>
    <t>TCACACCATGGGAGTGGGCTGCAAAAGAAGTAGGTAGTTTAACCTTCGGGAGGACGCTTACCACTTTGTGGTTCATGACTGGGGTGAA</t>
  </si>
  <si>
    <t>TCACATCATGAAAGCCGGTTTTGCCCGAAGTACGTGAGCTATCCCTCGGGAGGCAGCGTCCTAAGGCAGGGCTGGTGATTGGGATGAA</t>
  </si>
  <si>
    <t>TCACACCATGGGAGCTGGTTATGCCCGAAGTCGTTATACCAACCGTTTGGAGGAAGACGCCTAAGGTAGAGCTAGTGACTGGGGTGAA</t>
  </si>
  <si>
    <t>TCAAGCCATGGAAGCTGGGGGTGCCTGAAGATGGTGACCATAGAGGAGCTATCTAGGGTAAAACTGGTAACTAGGGCTAA</t>
  </si>
  <si>
    <t>TCAAGCCATGGAAGCTGGGAGTACCTGAAGTCGGTAACCATATAGGAGCTGCCTAGGGTAAAACTAGTGACTGGGGCTAA</t>
  </si>
  <si>
    <t>TCACACCATGGGAGTTGGATTCACCCGAAGGCGGTGCGCTAACCTTTTAGGAGGCAGCCGACCACGGTGGGTTCAGCGACTGGGGTGAA</t>
  </si>
  <si>
    <t>TCACACCATGGGAGTGGGATGCAAAAGAAGTAGTTAGTCTAACCTTCGGGAGGGCGATTACCACTTTGTGTTTCATGACTGGGGTGAA</t>
  </si>
  <si>
    <t>TCACACCATGGGAGCTGGTCATACCCGAAACCGTTTGCTTAACCATTCGGAGAGCGACGTCTAAGGTAGGGCTAGTGACTGGGGTGAA</t>
  </si>
  <si>
    <t>TCACCCTCCTCAAGTGCCATAGCAAAGCCCTAGATTGCTAACCCACGCTAAGCAAGCGTACAAGAGGAGACAA</t>
  </si>
  <si>
    <t>TCACACCATGGGAGCTGGTCATACCCGAAACCGTTTGCTTAACCATTCGGAGAGCGGCGTCTAAGGTAGGGCTAGTGACTGGGGTGAA</t>
  </si>
  <si>
    <t>TCACACCATGGGAGCTGGTCATGCCCGAAACCGTTTGCTTAACCTTTCGGAGAGCGGCGTCTAAGGTAGGGCTAGTGACTGGGGTGAA</t>
  </si>
  <si>
    <t>TCACACCATGGGAGTTGGTTGCACCAGAAGTGGGTAGTCTAACCTTCGGGAGGACGCTTACAACGGTGTGGTCAATGACTGGGGTGAA</t>
  </si>
  <si>
    <t>TCACACCCTGGGAATCGAAAGTATCTGAAGCTGTCGTTCTTAACCCGTAAGGGAGAGACGCTGTCACGGTAAAGTCTTTGACTGGGGTGAA</t>
  </si>
  <si>
    <t>TCACCCTCCTCAAATATCATAGCAAAGCCCCAGTTCACTAACCCATGCTAAGCAACTATACGAGAGGAGACAA</t>
  </si>
  <si>
    <t>TCAAGCCATGGAAGCTGGGGGTACCTGAAGTCGGTGACCGAAAGGAGCTGCCTAGGGTAAAACTGGTAACTGGGGCTAA</t>
  </si>
  <si>
    <t>TCACACCATGGAAGCTGGTTATACCCGAAGTCGTCACTCTAACCATTCGGAGGAGGATGCCTAAGGTAGAATTAGTGACTAGGGTGAA</t>
  </si>
  <si>
    <t>TCACACCACGGAAATTAGCTACACCCAAAGCTATTACCTCAACCAATAATATTAGGAGAGGGGTATCTAAGGTGGAGTTAATAACTGGGGTGAA</t>
  </si>
  <si>
    <t>TCACACCATGAGAGTTGGTTTTATCTTAAGTCAGTGCGCTAACCTTCGGGAGGCAGCTGCCCACGGTACGGCCAGCGATTGGGGTGAA</t>
  </si>
  <si>
    <t>TCACACCATGGAAGTTGGTTACACCTTAAGGCAAAGCTTATACCTTTGACTACGGTACGATCAGCAACTGGGGTGAA</t>
  </si>
  <si>
    <t>GTCACCCTCCTCAAGTGCCATAGCAAAGCCCTAGATCGCTAACCCATGCTAAGCAAGCGTACAAGAGGAGACAA</t>
  </si>
  <si>
    <t>TCAAACCATCTTAGTTGGGGGTGGGTGAGGCTGCGCTTTATGTCGTATTCGAGCCTGCCTTCGACAAGGAGGGTTAA</t>
  </si>
  <si>
    <t>TCACACCATGGAAGCTGGTTATGCCCAAAGTCGTTACTCTAACCTTTTTGGAGGAGGATGCCTAAGGTAGAATTAGTGACTGGGGTGAA</t>
  </si>
  <si>
    <t>TCAAGCCATGGAAGCTGGGGGCGCCTGAAGTCGGATACCGAAAGGGTCTGCCTAGGGCGAAACTGGTAACTGGGGCTAA</t>
  </si>
  <si>
    <t>TCACACCATGGAAGCTGGTTATACCCGAAGTCATTACTCTAACCATTTGGGGGAGGGTGCCTAAGGTAGAATTAGTGACTGGGGTGAA</t>
  </si>
  <si>
    <t>TCACACCATGGGAGTTGGTTCTACCCGAAGGCGCTGCGCTGACCGCAAGGAGGCAGGCGACCACGGTAGGGTCAGCGACTGGGGTGAA</t>
  </si>
  <si>
    <t>TCACACCATGGGAGTGGGTTGCACCAGAAGTAGCTAGCTTAACCTTCGGGAGGGCGGTTACCACGGTGTGATTCATGACTGGGGTGAA</t>
  </si>
  <si>
    <t>TCACACCATGGAAGCTGGTTATACCCGAAGTCGTTACTTTAACCGTTTGGATGAGGATGCCTAAGGTAGAATTGGTGACTGGGGTGAA</t>
  </si>
  <si>
    <t>TCACACCATGGGAGTGGACTGCACCAGAAGTGGTTAGCCTAACCTTCGGGAGGGCGATCACCACGGTGTGGTTCATGACTGGGGTGAA</t>
  </si>
  <si>
    <t>TCACACCATGGGAGCTGGTCATACCCGAAACCGTTAGCTTAACCATTCGGAGAGCGGCGTCTAAGGTAGGGCTAGTGACTGGGGTGAA</t>
  </si>
  <si>
    <t>TCACACCATGGGAGCTGGTCATACCCGAAACCGTTAGTTTAACCGTTTGGAGAACGACGTCTAAGGTAGGGCTAGTGACTGGGGTGAA</t>
  </si>
  <si>
    <t>TCGCTTGATCCGAGATGGGAGGGGATGAGGCGTGGTTATCACTGACCATGACGAGTCTTCTCTCGTTGAGGCGCAAGAA</t>
  </si>
  <si>
    <t>TCAAGCCATGGAAGCTGGGGGTGCCTGAAGTCGGTGACCGCAAGGAGCTGCCTAGGGTAAAACTAGTAACTGGGGCTAA</t>
  </si>
  <si>
    <t>TCACACCATGGGAGTGGGCTGTACCAGAAGTAGGTAGTCTAACCTTCGGGAGGACGCTTACCACGGTGTGGTTCATGACTGGGGTGAA</t>
  </si>
  <si>
    <t>TCAAGCCATGGAAGCTGGGGGTGCCTGAAGTCGGTAACCGCAAGGAGCCGCCTAGGGTAAAACTGGTAACTAGGGCTAA</t>
  </si>
  <si>
    <t>TCACACCATGGGAGTTGGTTCTACCTTAAGGCAAGGTTTAATACCCTTGACCACGGTATAGTCAGCGACTGGGGTGAA</t>
  </si>
  <si>
    <t>TCACACCATGGGAGTGGGTTGCTCCAGAAGTGGTTAGTCTAACCTTCGGGGGGACGATCACCACGGAGTGATTCATGACTGGGGTGAA</t>
  </si>
  <si>
    <t>TCAAACCATCTTAGTTGGGGGTGGGTGAGGCTACCTTCTAGTGGGGTATTCGAGCCTGCCTTCGACAAGGAGGGTTAA</t>
  </si>
  <si>
    <t>TCACACCACGGAAATTAGCTACACCCAAAGCTATTACCTTAACCAATACTTACGGAGAGGGGTATCTAAGGTGGAGTTAATAACTGGGGTGAA</t>
  </si>
  <si>
    <t>TCACACCATGGGAGCTGATCATGCCCGAAACCGTTAGCTTAACCTCTCGGAGAGCGGCGTCTAAGGTAGGGTTAGTGACTGGGGTGAA</t>
  </si>
  <si>
    <t>TCACCCTCCTCAAGTATCATAGCAAAGCCCCAGTGCACTAACCCATGCTAAGCAACTATACGAGAGGAGACAA</t>
  </si>
  <si>
    <t>TCACACCATGGGAGTGGGTTGCTCCAGAAGTAGATAGTCTAACCCTCGGGAGGACGTTTACCACGGAGTGATTCATGACTGGGGTGAA</t>
  </si>
  <si>
    <t>TCACACCATGGGAGTTGGGTTTACCCGAAGGCCGTGCGCCAACCTTTCGAGGGGGCAGCGGACCACGGTGAGCTCAGCGACTGGGGTGAA</t>
  </si>
  <si>
    <t>TCAAGCCATGGAAGTTGGGGGCGCCTGAAGTCGGTAACCGTAAGGAGCCGCCTAGGGCGAAACTAGTAACTGGGGCTAA</t>
  </si>
  <si>
    <t>TCACACCATGGGAGTTGGTTCTACCTTAAGGCAAGGTTTTAAACCCTTGACCACGGTATAGTCAGCGACTGGGGTGAA</t>
  </si>
  <si>
    <t>TCAAGCCATGGAAGCTGGGGGTGCCTGAAGTCGGTCACCGTAAGGAGCTGCCTAGGGCAAAACTAGTAACTGGGGCTAA</t>
  </si>
  <si>
    <t>TCACACCATGGGAGTTGGTTCTACCTTAAGGCAAGGTTTAAAACCCTTGACCACGGTATAGTCAGCGACTGGGGTGAA</t>
  </si>
  <si>
    <t>TCACACCATGGAAGCTGGTCGTACCCAAAACCGTTAGCTTAACCATTTGGAGAGCGGCGTCTAAGGTAAGGCTAGTGACTGGGGTGAA</t>
  </si>
  <si>
    <t>TCACACCATGGAAGCTGGTTATGCCCGAAGTCGTTACTCTAACCGTTTGGAGGAGGATGCCTAAGGTAGAATTAGTGACTGGGGTGAA</t>
  </si>
  <si>
    <t>TCAAGCCATGGAAGCTGGGGGTACCTGAAGTCGGTAACCGTAAGGAGCTGCCTAGGGTAAAACTAGTAACTGGGGCTAA</t>
  </si>
  <si>
    <t>TCACCCTCCTCAAGTAATAAGACACAACCATAACCATATTAACTTAACTAAAACACAAGAGGAGACAA</t>
  </si>
  <si>
    <t>TCACACCATGGGAGTTGGTTCTACCTTAAGGCAAGGTTTCAAACCCTTGACCACGGTATAGTCAGCGACTGGGGTGAA</t>
  </si>
  <si>
    <t>TCACACCATGGGAGTTGGCTTTACCCGAAGGCGGTGCGCCAACCTTTTAGGAGGCAGCCGACCACGGTAAGGTCAGCGACTGGGGTGAA</t>
  </si>
  <si>
    <t>TCACCCTCCTCAAGTACCGTAGCAAAGCCCCAGATCGCTAACCCATGCTAAGCAAGCGTACAAGAGGAGACAA</t>
  </si>
  <si>
    <t>TCACACCATGGGAGTTGGGTTTACCCGAAGGCCGTGCGCTAACTTTTGAGGCAGCGGACCACGGTGAGCTCAGCGACTGGGGTGAA</t>
  </si>
  <si>
    <t>TCACCCTCCTCAAGTACCATAGAAAAGCCCCAGATCACTAACCCATGCTAAGCAAGCGTACAAGAGGAGACAA</t>
  </si>
  <si>
    <t>TCACATCATGAAAGCCGGTTTTGCCCGAAGTATGTGAGCTAACTTCGGAAGCAGCGTCCTAAGGCAGGGCTGGTGATTGGGATGAA</t>
  </si>
  <si>
    <t>TCACACCATGGGAGTGGGTTGCTCCAGAAGTAGCTAGTCTAACTGCTTGCAGAGGACGGTTACCACGGAGTGATTCATGACTGGGGTGAA</t>
  </si>
  <si>
    <t>TCACACCATGGGAGTTGGTTTTACCTGAAGCCGGTGCGCTAACCTTAGGGGAGCAGCCGACCACGGTAGGGTCAGCGACTGGGGTGAA</t>
  </si>
  <si>
    <t>TCACACCATGGGAGCTGGTCATACCCGAAACCGTTTGCTTAACCGTTTGGAGAGCGACGTCTAAGGTAGGGCTAGTGACTGGGGTGAA</t>
  </si>
  <si>
    <t>TCACACCATGGGAGTGGGCTGCAAAAGAAGTGGGTAGTTTAACCTTCGGGAGGACGCTCACCACTTTGTGGTTCATGACTGGGGTGAA</t>
  </si>
  <si>
    <t>TCAAGCCATGGAAGCTGGGGGCGCCTGAAGTCGGTCACCGTAAGGAGCTGCCTAGGGCGAATCTGGTAACTGGGGCTAA</t>
  </si>
  <si>
    <t>TCACACCATGGGAGTGGGTTGCTCCAGAAGTAGGTAGCTTAACCTTAGGGAGGGCGCTTACCACGGAGTGATTCATGACTGGGGTGAA</t>
  </si>
  <si>
    <t>TCACCTTCCTCAGGTTCCATGACAAAGCCACAATCCACCAACACATGCTAAACAAGTATATGAGAGGAGATAA</t>
  </si>
  <si>
    <t>TCACACCATGGAAGCTGGTTATACCCAAAGTCGTTACTCTAACCTTTTTGGAGGAGGATGCCTAAGGTAGAATTAGTGACTGGGGTGAA</t>
  </si>
  <si>
    <t>TCAAACCATCTTAGTTGGGGGTGGGTGAGGCTGCGCTTCATGGCGTATTCGAGCCTGTCTTCGACAAGGAGGGTTAA</t>
  </si>
  <si>
    <t>TCAAACCATCTTAGTTGGGGGTGGGTGAGGCTACCTTTTAGTGGGGTATTCGAGCCTGCCTTCGACAAGGAGGGTTAA</t>
  </si>
  <si>
    <t>TCACACCATGGGAGTTGGATTCACTCGAAGGCGTTGAGCTAACCGCAAGGAGGCAGGCGACCACAGTGGGTTTAGCGACTGGGGTGAA</t>
  </si>
  <si>
    <t>TCACCCTCCTCAAGTATCATAGCAAAGCCCCAGTTCACTAACCCATGCTAAGCAACTATACGAGAGGAGACAA</t>
  </si>
  <si>
    <t>TCACACCATGGAAGCTGGTTATGCCCGAAGTCGTTACTCTAACCTTTTGGAGGAGGGCGCCTAAGGTAGAATTAGTGACTAGGGTGAA</t>
  </si>
  <si>
    <t>TCACACCATGGGAGTGGGTTGCTCCAGAAGTGGTTAGTCTAACCTTCGGGAGGACGATCACCACGGAGTGATTCATGACTGGGGTGAA</t>
  </si>
  <si>
    <t>TCACACCATGGAAGCTGGTTATACCCGAAGTCGTTACTTTAACCTTTTTGGATGAGGATGCCTAAGGTAGAATTGGTGACTGGGGTGAA</t>
  </si>
  <si>
    <t>TCACACCATGGAAGCTGGCTACGCCCAAAGTCGTTACTCTAACCTTCGGGAGGGGGGCGCCTAAGGCAGGGCTAGTGACTAGGGTGAA</t>
  </si>
  <si>
    <t>TCACACCACGAGAGTTGGTTGCACCTAAAGTAGCAGGCCTAACCGTAAGGAGGGATGCTCCTAAGGTGTGATTAGCGATTGGGGTGAA</t>
  </si>
  <si>
    <t>TCAAACCATCTTAGTTGGGGATGGATGAGGCTGCGTTTTAATGGCGTATTCGAGTCTGTCTTCGACAAGGAGGGTTAA</t>
  </si>
  <si>
    <t>TCACCCTCCTCAAGTGCCATAGCAAAGACCCAGATCGCTAACCCATGCTAAGCAAGCGTACAAGAGGAGACAA</t>
  </si>
  <si>
    <t>TCACACCATGGGAGTTGGTCATACCCGAAACCGCTTACTTAACCGTTTGGAGAGAGGCGTCTACGGCAGGGCTAGCGACTGGGGTGAA</t>
  </si>
  <si>
    <t>TCACACCATGGGAGTGCATTGCACCAGAAGTAGATAGCTTAACCTTCGGGAGAGCGTTTACCACGGTGTGGTCCATGACTGGGGTGAA</t>
  </si>
  <si>
    <t>TCAAACCATCTTAGTTGGGGGTGGGTGAGGCTGCCTTAACCATGGGGTATTCGAGCCTGCCTTCGACAAGGAGGGTTAA</t>
  </si>
  <si>
    <t>TCACCCTCCTCAAGTGCTATGACAAAGCCACAGTTTATTAACATATGCTAATCAATTATATGAGAGGAGATAA</t>
  </si>
  <si>
    <t>TCACACCATGGGAGTGGGTTGCACCAGAAGTGGCTAGTCTAACTTCGGAGGACGGTCACCACGGTGTGATTCATGACTGGGGTGAA</t>
  </si>
  <si>
    <t>TCACACCATGGGAGTGTATTGCACCAGAAGTAGATAGCTTAACCTTCGGGAGAGCGTTTACCACGGTGTGGTCCATGACTGGGGTGAA</t>
  </si>
  <si>
    <t>TCACACCATGGAAGCTGTTCATGCCCAAAGTCGTTACCCTAACCGCAAGGAGGGGGGCGCCTAAGGTAGGGATAGTGACTGGGGTGAA</t>
  </si>
  <si>
    <t>TCACACCATGGGAGTTGGTTGTACCCGAAGTCGTTATCCTAACTTTTAGAGGGAGGCGCCTAAGGTAAAATTGGTAACCGAGGTGAA</t>
  </si>
  <si>
    <t>TCAAGCCATGGAAGCTGGGGGCACCTGAAGTTGGGGTTCATACCCTGCCTAGGGTGAAACTGGTAACTGGGGCTAA</t>
  </si>
  <si>
    <t>TCACACCATGGAAGCTGTTCATACCCAAAGTCGTTACCTTAACCGCAAGGAGGGGGGCGCCTAAGGTAGGGATAGTGACTGGGGTGAA</t>
  </si>
  <si>
    <t>TCACACCATGGAAGCTGGTTATACCCGAAGTCGTTACTCTAACCGTTTGGAGGAGGATGCCTAAGGTAGAATTAGTGACTGGGGTGAA</t>
  </si>
  <si>
    <t>TCACACCATGGAAGCTGTTCATGCCCAAAGTCGTTACCTTAACCGCAAGGAGAGGGGCGCCTAAGGTAGGGATAGTGACTGGGGTGAA</t>
  </si>
  <si>
    <t>TCACACCATGGGAGCTGGTCATGCCCGAAACCGTTAGCTTAACCTTTATGGAGAGCGGCGTCTAAGGTAGGGTTAGTGACTGGGGTGAA</t>
  </si>
  <si>
    <t>TCACCCTCCTCAGGTTCCATGACAAAGCCACAATCCACCAACACATGCTAAACAAGTATATGAGAGGAGATAA</t>
  </si>
  <si>
    <t>TCACATCATGAAAGCCGGTTCTGCCCGAAGTACGTGAGTTAACTTCGGAGACAGCGTCCTAAGGTAGGGCTGGTGATTGGGATGAA</t>
  </si>
  <si>
    <t>TCACACCATGGGAGTTGGTTCTACCCGACGGCCGTGCGCTAACCTTTTGGAGGCAGCGGACCACGGTAGGATCAGCGACTGGGGTGAA</t>
  </si>
  <si>
    <t>TCACACCATGGAAGCTGTTCATACCCAAAGTCGTTACCTTAACCGTAAGGAGGGGGGCGCCTAAGGTAGGGATAGTGACTGGGGTGAA</t>
  </si>
  <si>
    <t>TCACACCATGGGAGTGGGCTGCAAAAGAAGTGGGTAGTTTAACCTTCGGGGGGACGCTCACCACTTTGTGGTTCATGACTGGGGTGAA</t>
  </si>
  <si>
    <t>TCACACCATGGGAGTGGGCTGCACCAGAAGTAGATAGCTTAACCTTCGGGAGGGCGTTTACCACGGTGTGGTTCATGACTGGGGTGAA</t>
  </si>
  <si>
    <t>TCAAACCATGGAAGCTGGGGGTGCCCGAAGGCGGTGGCCATAAAGGAGCTGTCTAAGGTAAAACTGGTAACTAGGGTTAA</t>
  </si>
  <si>
    <t>TCACCCTCCTCAAGCATGTAGTAATAAAAATAACCTATATTCAATTACACAACCATGCAAGAAGAGACAA</t>
  </si>
  <si>
    <t>TCAAACCATCTTAGTTGTGGGTGGGTGAGGCTACCTCTCAATGGGGTATTCGAGCCTGCCTTCGACGAGGAGGGTTAA</t>
  </si>
  <si>
    <t>TCACACCATGGGAGTGGGTTGCAAAAGAAGTGGCTAGTTTAACCTTCGGGAGGACGGTCACCACTTTGTGATTCATGACTGGGGTGAA</t>
  </si>
  <si>
    <t>TCACACCATGGGAGTTGACAGGGGCAGAAGACGTTGAGCTAACCGCAAGGAGGCAGACGTCCAAGCTCTTGTCGATGACTGGGGTGAA</t>
  </si>
  <si>
    <t>TCACACCATGGAAGCTGGTTATGCCCGAAGTCGTTACTCTAACCAATTGGAGGAGGATGCCTAAGGTAGAATTAGTGACTGGGGTGAA</t>
  </si>
  <si>
    <t>TCAAGCCATGGAAGCTGGGGGTACCTGAAGATGGTGACCATAGAGGAGCTATCTAGGGTAAAACTGGTAACTAGGGCTAA</t>
  </si>
  <si>
    <t>TCACACCATGGAAGTTGGCCACGCCCGAAGCCGTTACTCCAACCCTTGTGGAGGAGGACGTCGAAGGTGGGGCTGATGACTGGGGTGAA</t>
  </si>
  <si>
    <t>TCACACCATGGAAGTGGATTGCACCAGAAGTAGATAGTCTAACCTTCGGGAGGGCGTTTACCACGGTGTGCTTCATGACTGGGGTGAA</t>
  </si>
  <si>
    <t>TCAAACCATCTTAGTTGGGGGTGGGTGAGGCTGCGCTTTATGGCGTATTCGAGCCTGCCTTCGACAAGGAGGGTTAA</t>
  </si>
  <si>
    <t>TCAAGCCATGGAAGCTGGGGGTGCCTGAAGATGGTGACTTTACGGGGAGCTATCTAAGGTAAAACTAGTAACTGGGGCTAA</t>
  </si>
  <si>
    <t>TCACACCATGGGAGTTGGGTCCACCCGAAGGCCGTGCGCCAACCTGCTTGCAGGGGGCAGCGGACCACGGTGAGCTCAGCGACTGGGGTGAA</t>
  </si>
  <si>
    <t>TCAAGCCATGGAAGCTGGGGGTACCTGAAGTCGGTAACCGAAAGGAGCTGCCTAGGGTAAAACTAGTAACTAGGGCTAA</t>
  </si>
  <si>
    <t>TCACACCATGGGAGTGGGATGCAAAAGAAGTAGGTAGCTTAACCTTCGGGATGGCGCTTACCACTTTGTGTTTCATGACTGGGGTGAA</t>
  </si>
  <si>
    <t>TCACACCATGGGAGTGCATTGCACCAGAAGTAGATAGCTTAACCTTCGGGGGAGCGTTTACCACGGTGTGGTCCATGACTGGGGTGAA</t>
  </si>
  <si>
    <t>TCACACCATGGGAGTGGGATGCAAAAGAAGTAGTTAGTCTAACCTTCGGGAGGACGATTACCACTTTGTGTTTCATGACTGGGGTGAA</t>
  </si>
  <si>
    <t>TCACACCATGGAAGCTGGTTATACCCGAAGTCGTTACTCTAACCATTTGGAGGAGGATGCCTAAGGTAGAATTAGTGACTGGGGTGAA</t>
  </si>
  <si>
    <t>TCACCCTCCTCAAGTGCCATAGCAAAGCCCCAGATCACTAACCCATGCTAAGCAAGCGTACAAGAGGAGACAA</t>
  </si>
  <si>
    <t>TCACCCTCCTCAAGTACCATAGCTAAGCCCTAGATTGCTAACCCATGCTAAGCAAGCATACAAGAGGAGACAA</t>
  </si>
  <si>
    <t>TCACCCTCCTCAAGTACCATAGCATAAGCCCCAGATCACTAACCCACGCTAAGCAAGCGTACAAGAGGAGACAA</t>
  </si>
  <si>
    <t>TCACCCTCCTCAAGTGCCATAGCAAAGCCCCAGATTGCTAACCCATGCTAAGCAAGCGTACAAGAGGAGACAA</t>
  </si>
  <si>
    <t>Eutreptiella gymnastica</t>
  </si>
  <si>
    <t>bacterium</t>
  </si>
  <si>
    <t>Helcococcus ovis</t>
  </si>
  <si>
    <t>Nephroselmis pyriformis</t>
  </si>
  <si>
    <t>Bacteroides luti</t>
  </si>
  <si>
    <t>Entomoneis sp.</t>
  </si>
  <si>
    <t>Phalacroma mitra</t>
  </si>
  <si>
    <t>Thryssa dussumieri</t>
  </si>
  <si>
    <t>Ornithobacterium rhinotracheale</t>
  </si>
  <si>
    <t>Candidatus Actinomarina minuta</t>
  </si>
  <si>
    <t>SAR86 cluster bacterium</t>
  </si>
  <si>
    <t>Bacteria</t>
  </si>
  <si>
    <t>Eukaryota</t>
  </si>
  <si>
    <t>Archaea</t>
  </si>
  <si>
    <t>superkingdom</t>
  </si>
  <si>
    <t>PCR_NC2</t>
  </si>
  <si>
    <t>PCR_NC1</t>
  </si>
  <si>
    <t>P01-FieldNC</t>
  </si>
  <si>
    <t>P18-S</t>
  </si>
  <si>
    <t>OP-4_DNAextNC</t>
  </si>
  <si>
    <t>OP-3_FieldNC</t>
  </si>
  <si>
    <t>OP-2</t>
  </si>
  <si>
    <t>OP-1</t>
  </si>
  <si>
    <t>OTU00001</t>
  </si>
  <si>
    <t>ACATTATTGCCCCATCAACATAAAGGTTTGGTCCTGGCCTTTCTATTAATTCTTAGCAGACTTACACATGCAAGCATCCGCATCCCAGTGAGAATGCCCTCCAAATCATTAAAGACTAAAAGGAGCGGGCATCAAGCACACTATACTAGTAGCTCATAACGCCTTGCTTAGCCACGCCCCCACGGGATACAGCAGTGACAAGAATTAGGCTATGAACGAAAGTTTGACCTAGCCATGCTAATTAGGGTTGGTAAACTTCGTGCCAGC</t>
  </si>
  <si>
    <t>Taxa assignment by dada2::assignSpecies</t>
  </si>
  <si>
    <t>Table S11. Sequence processing summary for MiMammal</t>
  </si>
  <si>
    <t>Table S12. Sequence processing summary for Ceto2</t>
  </si>
  <si>
    <t>Table S13. Sequence processing summary for field positive samples</t>
  </si>
  <si>
    <t>*The taxa in this table were automatically assigned using Claident and may be different from those used for summarizing the aquarium pool experiment.</t>
  </si>
  <si>
    <t>Table S20. OTU matrix for field positive samples</t>
  </si>
  <si>
    <t>Table S18. ASV matrix for MiMammal</t>
  </si>
  <si>
    <t>Table S19. ASV matrix for Ceto2</t>
  </si>
  <si>
    <t>Mu31F/Dc320R</t>
  </si>
  <si>
    <t>Dc671F/Dc1015R</t>
  </si>
  <si>
    <t>Mu2084F/Dc2438R</t>
  </si>
  <si>
    <t>Mu9459F/Mu9822R</t>
  </si>
  <si>
    <t>Table S17. ASV matrix for Mu9459F/Mu9822R</t>
  </si>
  <si>
    <t>MiMammalF/R</t>
  </si>
  <si>
    <t>Ceto2F/R</t>
  </si>
  <si>
    <t>Table S16. ASV matrix for Mu2084F/Dc2438R</t>
  </si>
  <si>
    <t>Table S15. ASV matrix for Dc671F/Dc1015R</t>
  </si>
  <si>
    <t>Table S14. ASV matrix for Mu31F/Dc320R</t>
  </si>
  <si>
    <t>Table S10. Sequence processing summary for Mu9459F/Mu9822R</t>
  </si>
  <si>
    <t>Table S9. Sequence processing summary for Mu2084F/Dc2438R</t>
  </si>
  <si>
    <t>Table S8. Sequence processing summary for Dc671F/Dc1015R</t>
  </si>
  <si>
    <t>Table S7. Sequence processing summary for Mu31F/Dc320R</t>
  </si>
  <si>
    <r>
      <t>Mu31F/Dc320R</t>
    </r>
    <r>
      <rPr>
        <vertAlign val="superscript"/>
        <sz val="12"/>
        <color theme="1"/>
        <rFont val="Arial"/>
        <family val="2"/>
      </rPr>
      <t>†</t>
    </r>
    <r>
      <rPr>
        <sz val="12"/>
        <color theme="1"/>
        <rFont val="Arial"/>
        <family val="2"/>
      </rPr>
      <t xml:space="preserve"> (µCeta primer</t>
    </r>
    <r>
      <rPr>
        <vertAlign val="superscript"/>
        <sz val="12"/>
        <color theme="1"/>
        <rFont val="Arial"/>
        <family val="2"/>
      </rPr>
      <t>¶</t>
    </r>
    <r>
      <rPr>
        <sz val="12"/>
        <color theme="1"/>
        <rFont val="Arial"/>
        <family val="2"/>
      </rPr>
      <t>)</t>
    </r>
  </si>
  <si>
    <t>Mu31F/MiMammalR</t>
  </si>
  <si>
    <t>Dc321F/Dc495R</t>
  </si>
  <si>
    <t>Mu642F/Dc1015R</t>
  </si>
  <si>
    <t>Mu642F/Mu1021R</t>
  </si>
  <si>
    <t>Dc671F/Dc1015R†</t>
  </si>
  <si>
    <t>Dc671F/Mu1021R</t>
  </si>
  <si>
    <t>Dc1458/1638</t>
  </si>
  <si>
    <t>Dc1465F/Dc1646R</t>
  </si>
  <si>
    <t>Mu2084F/Dc2438R†</t>
  </si>
  <si>
    <t>Dc2173/2580</t>
  </si>
  <si>
    <t>Mu2187F/Dc2438R</t>
  </si>
  <si>
    <t>Mu2187F/Mu2563R</t>
  </si>
  <si>
    <t>Dc2385/2580</t>
  </si>
  <si>
    <t>Dc2438F/Mu2563R</t>
  </si>
  <si>
    <t>Dc2505/2580</t>
  </si>
  <si>
    <t>Mu9459F/Mu9822R†</t>
  </si>
  <si>
    <t>Mu9459F/Mu9834R</t>
  </si>
  <si>
    <t>¶The primer set Mu31F/Dc320R is named µCeta-F/R.</t>
  </si>
  <si>
    <r>
      <t>Mu31F/Dc320R (µCeta</t>
    </r>
    <r>
      <rPr>
        <vertAlign val="superscript"/>
        <sz val="12"/>
        <color theme="1"/>
        <rFont val="Arial"/>
        <family val="2"/>
      </rPr>
      <t>*</t>
    </r>
    <r>
      <rPr>
        <sz val="12"/>
        <color theme="1"/>
        <rFont val="Arial"/>
        <family val="2"/>
      </rPr>
      <t>)</t>
    </r>
  </si>
  <si>
    <r>
      <rPr>
        <vertAlign val="superscript"/>
        <sz val="12"/>
        <color theme="1"/>
        <rFont val="Arial"/>
        <family val="2"/>
      </rPr>
      <t>*</t>
    </r>
    <r>
      <rPr>
        <sz val="12"/>
        <color theme="1"/>
        <rFont val="Arial"/>
        <family val="2"/>
      </rPr>
      <t>The primer set, Mu31F/Dc320R, is named µCeta-F/R.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</si>
</sst>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#,##0.0000"/>
    <numFmt numFmtId="167" formatCode="#,##0.000000"/>
  </numFmts>
  <fonts count="17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2"/>
      <name val="メイリオ"/>
      <family val="3"/>
      <charset val="128"/>
    </font>
    <font>
      <b/>
      <i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i/>
      <sz val="12"/>
      <name val="Arial"/>
      <family val="2"/>
    </font>
    <font>
      <sz val="12"/>
      <name val="Helvetica Neue"/>
      <family val="2"/>
    </font>
    <font>
      <sz val="12"/>
      <color rgb="FF0070C0"/>
      <name val="Arial"/>
      <family val="2"/>
    </font>
    <font>
      <u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165" fontId="1" fillId="0" borderId="0" xfId="0" applyNumberFormat="1" applyFont="1"/>
    <xf numFmtId="0" fontId="1" fillId="2" borderId="0" xfId="0" applyFont="1" applyFill="1"/>
    <xf numFmtId="165" fontId="1" fillId="2" borderId="0" xfId="0" applyNumberFormat="1" applyFont="1" applyFill="1"/>
    <xf numFmtId="0" fontId="1" fillId="0" borderId="2" xfId="0" applyFont="1" applyBorder="1"/>
    <xf numFmtId="165" fontId="1" fillId="0" borderId="2" xfId="0" applyNumberFormat="1" applyFont="1" applyBorder="1"/>
    <xf numFmtId="0" fontId="2" fillId="0" borderId="1" xfId="0" applyFont="1" applyBorder="1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7" fillId="2" borderId="0" xfId="0" applyFont="1" applyFill="1"/>
    <xf numFmtId="0" fontId="3" fillId="0" borderId="2" xfId="0" applyFont="1" applyBorder="1"/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3" fontId="1" fillId="0" borderId="0" xfId="0" applyNumberFormat="1" applyFont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3" fontId="1" fillId="0" borderId="2" xfId="0" applyNumberFormat="1" applyFont="1" applyBorder="1" applyAlignment="1">
      <alignment horizontal="left" vertical="top"/>
    </xf>
    <xf numFmtId="3" fontId="2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3" xfId="0" applyFont="1" applyBorder="1"/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/>
    <xf numFmtId="0" fontId="7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1" fillId="0" borderId="2" xfId="0" applyFont="1" applyBorder="1" applyAlignment="1">
      <alignment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3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3" fontId="1" fillId="0" borderId="0" xfId="0" applyNumberFormat="1" applyFont="1" applyAlignment="1">
      <alignment vertical="top"/>
    </xf>
    <xf numFmtId="0" fontId="12" fillId="0" borderId="0" xfId="0" applyFont="1"/>
    <xf numFmtId="0" fontId="3" fillId="0" borderId="2" xfId="0" applyFont="1" applyBorder="1" applyAlignment="1">
      <alignment vertical="center"/>
    </xf>
    <xf numFmtId="0" fontId="11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/>
    <xf numFmtId="0" fontId="1" fillId="2" borderId="1" xfId="0" applyFont="1" applyFill="1" applyBorder="1"/>
    <xf numFmtId="0" fontId="1" fillId="0" borderId="3" xfId="0" applyFont="1" applyBorder="1"/>
    <xf numFmtId="3" fontId="1" fillId="0" borderId="2" xfId="0" applyNumberFormat="1" applyFont="1" applyBorder="1"/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/>
    <xf numFmtId="0" fontId="2" fillId="0" borderId="2" xfId="0" applyFont="1" applyBorder="1"/>
    <xf numFmtId="3" fontId="2" fillId="0" borderId="2" xfId="0" applyNumberFormat="1" applyFont="1" applyBorder="1"/>
    <xf numFmtId="2" fontId="1" fillId="0" borderId="0" xfId="0" applyNumberFormat="1" applyFont="1"/>
    <xf numFmtId="2" fontId="2" fillId="0" borderId="2" xfId="0" applyNumberFormat="1" applyFont="1" applyBorder="1"/>
    <xf numFmtId="3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3" fontId="2" fillId="0" borderId="0" xfId="0" applyNumberFormat="1" applyFont="1"/>
    <xf numFmtId="2" fontId="1" fillId="0" borderId="0" xfId="0" applyNumberFormat="1" applyFont="1" applyAlignment="1">
      <alignment horizontal="right"/>
    </xf>
    <xf numFmtId="0" fontId="3" fillId="2" borderId="1" xfId="0" applyFont="1" applyFill="1" applyBorder="1"/>
    <xf numFmtId="3" fontId="16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3" fontId="2" fillId="2" borderId="1" xfId="0" applyNumberFormat="1" applyFont="1" applyFill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E954-ADB5-584A-A892-B71C455243E3}">
  <dimension ref="A1:I8"/>
  <sheetViews>
    <sheetView tabSelected="1" zoomScale="150" zoomScaleNormal="150" workbookViewId="0">
      <selection activeCell="A9" sqref="A9"/>
    </sheetView>
  </sheetViews>
  <sheetFormatPr baseColWidth="10" defaultRowHeight="16"/>
  <cols>
    <col min="1" max="1" width="35.6640625" style="1" customWidth="1"/>
    <col min="2" max="2" width="11" style="1" customWidth="1"/>
    <col min="3" max="3" width="38.1640625" style="1" customWidth="1"/>
    <col min="4" max="4" width="34" style="1" customWidth="1"/>
    <col min="5" max="6" width="11.33203125" style="1" customWidth="1"/>
    <col min="7" max="16384" width="10.83203125" style="1"/>
  </cols>
  <sheetData>
    <row r="1" spans="1:9">
      <c r="A1" s="1" t="s">
        <v>71</v>
      </c>
    </row>
    <row r="2" spans="1:9" s="4" customFormat="1" ht="58" customHeight="1">
      <c r="A2" s="2" t="s">
        <v>1</v>
      </c>
      <c r="B2" s="2" t="s">
        <v>0</v>
      </c>
      <c r="C2" s="2" t="s">
        <v>2</v>
      </c>
      <c r="D2" s="2" t="s">
        <v>37</v>
      </c>
      <c r="E2" s="2" t="s">
        <v>61</v>
      </c>
      <c r="F2" s="2" t="s">
        <v>62</v>
      </c>
      <c r="G2" s="2" t="s">
        <v>36</v>
      </c>
      <c r="H2" s="3" t="s">
        <v>38</v>
      </c>
      <c r="I2" s="3" t="s">
        <v>39</v>
      </c>
    </row>
    <row r="3" spans="1:9" ht="18">
      <c r="A3" s="1" t="s">
        <v>3061</v>
      </c>
      <c r="B3" s="1" t="s">
        <v>4</v>
      </c>
      <c r="C3" s="1" t="s">
        <v>19</v>
      </c>
      <c r="D3" s="1" t="s">
        <v>43</v>
      </c>
      <c r="E3" s="1">
        <f t="shared" ref="E3:F6" si="0">LEN(C3)</f>
        <v>22</v>
      </c>
      <c r="F3" s="1">
        <f t="shared" si="0"/>
        <v>20</v>
      </c>
      <c r="G3" s="1">
        <v>268</v>
      </c>
      <c r="H3" s="5">
        <v>0.40909090909090912</v>
      </c>
      <c r="I3" s="5">
        <v>0.52500000000000002</v>
      </c>
    </row>
    <row r="4" spans="1:9">
      <c r="A4" s="1" t="s">
        <v>3029</v>
      </c>
      <c r="B4" s="1" t="s">
        <v>4</v>
      </c>
      <c r="C4" s="1" t="s">
        <v>49</v>
      </c>
      <c r="D4" s="1" t="s">
        <v>47</v>
      </c>
      <c r="E4" s="1">
        <f t="shared" si="0"/>
        <v>20</v>
      </c>
      <c r="F4" s="1">
        <f t="shared" si="0"/>
        <v>22</v>
      </c>
      <c r="G4" s="1">
        <v>325</v>
      </c>
      <c r="H4" s="5">
        <v>0.42499999999999999</v>
      </c>
      <c r="I4" s="5">
        <v>0.52272727272727271</v>
      </c>
    </row>
    <row r="5" spans="1:9">
      <c r="A5" s="1" t="s">
        <v>3030</v>
      </c>
      <c r="B5" s="1" t="s">
        <v>11</v>
      </c>
      <c r="C5" s="1" t="s">
        <v>51</v>
      </c>
      <c r="D5" s="1" t="s">
        <v>25</v>
      </c>
      <c r="E5" s="1">
        <f t="shared" si="0"/>
        <v>24</v>
      </c>
      <c r="F5" s="1">
        <f t="shared" si="0"/>
        <v>21</v>
      </c>
      <c r="G5" s="1">
        <v>331</v>
      </c>
      <c r="H5" s="5">
        <v>0.47916666666666669</v>
      </c>
      <c r="I5" s="5">
        <v>0.52380952380952384</v>
      </c>
    </row>
    <row r="6" spans="1:9">
      <c r="A6" s="8" t="s">
        <v>3031</v>
      </c>
      <c r="B6" s="8" t="s">
        <v>34</v>
      </c>
      <c r="C6" s="8" t="s">
        <v>54</v>
      </c>
      <c r="D6" s="8" t="s">
        <v>55</v>
      </c>
      <c r="E6" s="8">
        <f t="shared" si="0"/>
        <v>25</v>
      </c>
      <c r="F6" s="8">
        <f t="shared" si="0"/>
        <v>19</v>
      </c>
      <c r="G6" s="8">
        <v>339</v>
      </c>
      <c r="H6" s="9">
        <v>0.46</v>
      </c>
      <c r="I6" s="9">
        <v>0.44736842100000002</v>
      </c>
    </row>
    <row r="7" spans="1:9">
      <c r="A7" s="1" t="s">
        <v>70</v>
      </c>
      <c r="H7" s="5"/>
      <c r="I7" s="5"/>
    </row>
    <row r="8" spans="1:9" ht="18">
      <c r="A8" s="1" t="s">
        <v>3062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CFE3-28DA-7B47-8B5F-CE7F4D6FDE35}">
  <dimension ref="A1:F22"/>
  <sheetViews>
    <sheetView zoomScale="150" zoomScaleNormal="150" workbookViewId="0">
      <selection activeCell="A22" sqref="A22"/>
    </sheetView>
  </sheetViews>
  <sheetFormatPr baseColWidth="10" defaultRowHeight="16"/>
  <cols>
    <col min="1" max="1" width="34.5" customWidth="1"/>
    <col min="2" max="2" width="30.1640625" customWidth="1"/>
  </cols>
  <sheetData>
    <row r="1" spans="1:6">
      <c r="A1" s="1" t="s">
        <v>566</v>
      </c>
      <c r="B1" s="1"/>
      <c r="C1" s="1"/>
      <c r="D1" s="1"/>
      <c r="E1" s="1"/>
      <c r="F1" s="1"/>
    </row>
    <row r="2" spans="1:6">
      <c r="A2" s="32" t="s">
        <v>96</v>
      </c>
      <c r="B2" s="32" t="s">
        <v>72</v>
      </c>
      <c r="C2" s="81" t="s">
        <v>570</v>
      </c>
      <c r="D2" s="81"/>
      <c r="E2" s="81"/>
      <c r="F2" s="81"/>
    </row>
    <row r="3" spans="1:6" ht="26">
      <c r="A3" s="33"/>
      <c r="B3" s="33"/>
      <c r="C3" s="34" t="s">
        <v>627</v>
      </c>
      <c r="D3" s="34" t="s">
        <v>81</v>
      </c>
      <c r="E3" s="34" t="s">
        <v>82</v>
      </c>
      <c r="F3" s="34" t="s">
        <v>83</v>
      </c>
    </row>
    <row r="4" spans="1:6">
      <c r="A4" s="36" t="s">
        <v>628</v>
      </c>
      <c r="B4" s="29" t="s">
        <v>126</v>
      </c>
      <c r="C4" s="28" t="s">
        <v>571</v>
      </c>
      <c r="D4" s="28" t="s">
        <v>571</v>
      </c>
      <c r="E4" s="28" t="s">
        <v>571</v>
      </c>
      <c r="F4" s="28" t="s">
        <v>571</v>
      </c>
    </row>
    <row r="5" spans="1:6">
      <c r="A5" s="36" t="s">
        <v>629</v>
      </c>
      <c r="B5" s="29" t="s">
        <v>165</v>
      </c>
      <c r="C5" s="28" t="s">
        <v>571</v>
      </c>
      <c r="D5" s="30" t="s">
        <v>568</v>
      </c>
      <c r="E5" s="28" t="s">
        <v>571</v>
      </c>
      <c r="F5" s="30" t="s">
        <v>568</v>
      </c>
    </row>
    <row r="6" spans="1:6">
      <c r="A6" s="36" t="s">
        <v>630</v>
      </c>
      <c r="B6" s="29" t="s">
        <v>165</v>
      </c>
      <c r="C6" s="28" t="s">
        <v>571</v>
      </c>
      <c r="D6" s="28" t="s">
        <v>571</v>
      </c>
      <c r="E6" s="28" t="s">
        <v>571</v>
      </c>
      <c r="F6" s="28" t="s">
        <v>571</v>
      </c>
    </row>
    <row r="7" spans="1:6">
      <c r="A7" s="36" t="s">
        <v>631</v>
      </c>
      <c r="B7" s="29" t="s">
        <v>165</v>
      </c>
      <c r="C7" s="28" t="s">
        <v>571</v>
      </c>
      <c r="D7" s="28" t="s">
        <v>571</v>
      </c>
      <c r="E7" s="28" t="s">
        <v>571</v>
      </c>
      <c r="F7" s="28" t="s">
        <v>571</v>
      </c>
    </row>
    <row r="8" spans="1:6">
      <c r="A8" s="36" t="s">
        <v>632</v>
      </c>
      <c r="B8" s="29" t="s">
        <v>165</v>
      </c>
      <c r="C8" s="28" t="s">
        <v>571</v>
      </c>
      <c r="D8" s="28" t="s">
        <v>571</v>
      </c>
      <c r="E8" s="28" t="s">
        <v>571</v>
      </c>
      <c r="F8" s="28" t="s">
        <v>571</v>
      </c>
    </row>
    <row r="9" spans="1:6">
      <c r="A9" s="36" t="s">
        <v>633</v>
      </c>
      <c r="B9" s="29" t="s">
        <v>165</v>
      </c>
      <c r="C9" s="28" t="s">
        <v>571</v>
      </c>
      <c r="D9" s="28" t="s">
        <v>571</v>
      </c>
      <c r="E9" s="28" t="s">
        <v>571</v>
      </c>
      <c r="F9" s="28" t="s">
        <v>571</v>
      </c>
    </row>
    <row r="10" spans="1:6">
      <c r="A10" s="49" t="s">
        <v>90</v>
      </c>
      <c r="B10" s="50" t="s">
        <v>165</v>
      </c>
      <c r="C10" s="51" t="s">
        <v>571</v>
      </c>
      <c r="D10" s="51" t="s">
        <v>571</v>
      </c>
      <c r="E10" s="51" t="s">
        <v>571</v>
      </c>
      <c r="F10" s="51" t="s">
        <v>571</v>
      </c>
    </row>
    <row r="11" spans="1:6">
      <c r="A11" s="36" t="s">
        <v>634</v>
      </c>
      <c r="B11" s="29" t="s">
        <v>165</v>
      </c>
      <c r="C11" s="28" t="s">
        <v>571</v>
      </c>
      <c r="D11" s="28" t="s">
        <v>571</v>
      </c>
      <c r="E11" s="28" t="s">
        <v>571</v>
      </c>
      <c r="F11" s="28" t="s">
        <v>571</v>
      </c>
    </row>
    <row r="12" spans="1:6">
      <c r="A12" s="36" t="s">
        <v>635</v>
      </c>
      <c r="B12" s="29" t="s">
        <v>165</v>
      </c>
      <c r="C12" s="28" t="s">
        <v>571</v>
      </c>
      <c r="D12" s="28" t="s">
        <v>571</v>
      </c>
      <c r="E12" s="28" t="s">
        <v>571</v>
      </c>
      <c r="F12" s="28" t="s">
        <v>571</v>
      </c>
    </row>
    <row r="13" spans="1:6">
      <c r="A13" s="36" t="s">
        <v>636</v>
      </c>
      <c r="B13" s="29" t="s">
        <v>165</v>
      </c>
      <c r="C13" s="28" t="s">
        <v>571</v>
      </c>
      <c r="D13" s="28" t="s">
        <v>571</v>
      </c>
      <c r="E13" s="28" t="s">
        <v>571</v>
      </c>
      <c r="F13" s="28" t="s">
        <v>571</v>
      </c>
    </row>
    <row r="14" spans="1:6">
      <c r="A14" s="36" t="s">
        <v>637</v>
      </c>
      <c r="B14" s="29" t="s">
        <v>165</v>
      </c>
      <c r="C14" s="28" t="s">
        <v>571</v>
      </c>
      <c r="D14" s="28" t="s">
        <v>571</v>
      </c>
      <c r="E14" s="28" t="s">
        <v>571</v>
      </c>
      <c r="F14" s="28" t="s">
        <v>571</v>
      </c>
    </row>
    <row r="15" spans="1:6">
      <c r="A15" s="36" t="s">
        <v>638</v>
      </c>
      <c r="B15" s="29" t="s">
        <v>165</v>
      </c>
      <c r="C15" s="28" t="s">
        <v>571</v>
      </c>
      <c r="D15" s="28" t="s">
        <v>571</v>
      </c>
      <c r="E15" s="28" t="s">
        <v>571</v>
      </c>
      <c r="F15" s="28" t="s">
        <v>571</v>
      </c>
    </row>
    <row r="16" spans="1:6">
      <c r="A16" s="36" t="s">
        <v>639</v>
      </c>
      <c r="B16" s="29" t="s">
        <v>567</v>
      </c>
      <c r="C16" s="28" t="s">
        <v>571</v>
      </c>
      <c r="D16" s="28" t="s">
        <v>571</v>
      </c>
      <c r="E16" s="28" t="s">
        <v>571</v>
      </c>
      <c r="F16" s="30" t="s">
        <v>568</v>
      </c>
    </row>
    <row r="17" spans="1:6">
      <c r="A17" s="36" t="s">
        <v>640</v>
      </c>
      <c r="B17" s="29" t="s">
        <v>567</v>
      </c>
      <c r="C17" s="28" t="s">
        <v>571</v>
      </c>
      <c r="D17" s="28" t="s">
        <v>571</v>
      </c>
      <c r="E17" s="28" t="s">
        <v>571</v>
      </c>
      <c r="F17" s="30" t="s">
        <v>569</v>
      </c>
    </row>
    <row r="18" spans="1:6">
      <c r="A18" s="36" t="s">
        <v>641</v>
      </c>
      <c r="B18" s="29" t="s">
        <v>292</v>
      </c>
      <c r="C18" s="28" t="s">
        <v>571</v>
      </c>
      <c r="D18" s="28" t="s">
        <v>571</v>
      </c>
      <c r="E18" s="28" t="s">
        <v>571</v>
      </c>
      <c r="F18" s="28" t="s">
        <v>571</v>
      </c>
    </row>
    <row r="19" spans="1:6">
      <c r="A19" s="36" t="s">
        <v>643</v>
      </c>
      <c r="B19" s="29" t="s">
        <v>324</v>
      </c>
      <c r="C19" s="28" t="s">
        <v>571</v>
      </c>
      <c r="D19" s="28" t="s">
        <v>571</v>
      </c>
      <c r="E19" s="28" t="s">
        <v>571</v>
      </c>
      <c r="F19" s="28" t="s">
        <v>571</v>
      </c>
    </row>
    <row r="20" spans="1:6">
      <c r="A20" s="36" t="s">
        <v>644</v>
      </c>
      <c r="B20" s="29" t="s">
        <v>324</v>
      </c>
      <c r="C20" s="28" t="s">
        <v>571</v>
      </c>
      <c r="D20" s="28" t="s">
        <v>571</v>
      </c>
      <c r="E20" s="28" t="s">
        <v>571</v>
      </c>
      <c r="F20" s="28" t="s">
        <v>571</v>
      </c>
    </row>
    <row r="21" spans="1:6">
      <c r="A21" s="36" t="s">
        <v>645</v>
      </c>
      <c r="B21" s="29" t="s">
        <v>324</v>
      </c>
      <c r="C21" s="28" t="s">
        <v>571</v>
      </c>
      <c r="D21" s="28" t="s">
        <v>571</v>
      </c>
      <c r="E21" s="28" t="s">
        <v>571</v>
      </c>
      <c r="F21" s="30" t="s">
        <v>568</v>
      </c>
    </row>
    <row r="22" spans="1:6">
      <c r="A22" s="48" t="s">
        <v>642</v>
      </c>
      <c r="B22" s="35" t="s">
        <v>324</v>
      </c>
      <c r="C22" s="31" t="s">
        <v>571</v>
      </c>
      <c r="D22" s="31" t="s">
        <v>571</v>
      </c>
      <c r="E22" s="31" t="s">
        <v>571</v>
      </c>
      <c r="F22" s="31" t="s">
        <v>571</v>
      </c>
    </row>
  </sheetData>
  <mergeCells count="1">
    <mergeCell ref="C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8A39-3757-EF4D-B668-FEDBD73D2E44}">
  <dimension ref="A1:G124"/>
  <sheetViews>
    <sheetView zoomScale="150" zoomScaleNormal="150" workbookViewId="0">
      <selection activeCell="B116" sqref="B116"/>
    </sheetView>
  </sheetViews>
  <sheetFormatPr baseColWidth="10" defaultRowHeight="16"/>
  <cols>
    <col min="1" max="1" width="16.33203125" style="1" customWidth="1"/>
    <col min="2" max="2" width="29.6640625" style="1" customWidth="1"/>
    <col min="3" max="3" width="17" style="1" customWidth="1"/>
    <col min="4" max="4" width="13.33203125" style="1" customWidth="1"/>
    <col min="5" max="5" width="18.5" style="1" customWidth="1"/>
    <col min="6" max="6" width="20.33203125" style="1" customWidth="1"/>
    <col min="7" max="7" width="16.6640625" style="1" customWidth="1"/>
    <col min="8" max="8" width="11.83203125" style="1" customWidth="1"/>
    <col min="9" max="9" width="10.83203125" style="1"/>
    <col min="10" max="10" width="22.33203125" style="1" customWidth="1"/>
    <col min="11" max="16384" width="10.83203125" style="1"/>
  </cols>
  <sheetData>
    <row r="1" spans="1:7">
      <c r="A1" s="13" t="s">
        <v>533</v>
      </c>
    </row>
    <row r="2" spans="1:7">
      <c r="A2" s="10" t="s">
        <v>534</v>
      </c>
      <c r="B2" s="10" t="s">
        <v>92</v>
      </c>
      <c r="C2" s="10" t="s">
        <v>93</v>
      </c>
      <c r="D2" s="10" t="s">
        <v>94</v>
      </c>
      <c r="E2" s="10" t="s">
        <v>72</v>
      </c>
      <c r="F2" s="10" t="s">
        <v>95</v>
      </c>
      <c r="G2" s="10" t="s">
        <v>96</v>
      </c>
    </row>
    <row r="3" spans="1:7">
      <c r="A3" s="14" t="s">
        <v>532</v>
      </c>
      <c r="B3" s="11"/>
      <c r="C3" s="11"/>
      <c r="D3" s="11"/>
      <c r="E3" s="11"/>
      <c r="F3" s="11"/>
      <c r="G3" s="11"/>
    </row>
    <row r="4" spans="1:7">
      <c r="A4" s="1" t="s">
        <v>114</v>
      </c>
      <c r="B4" s="12" t="s">
        <v>108</v>
      </c>
      <c r="C4" s="1" t="s">
        <v>109</v>
      </c>
      <c r="D4" s="1" t="s">
        <v>110</v>
      </c>
      <c r="E4" s="1" t="s">
        <v>111</v>
      </c>
      <c r="F4" s="12" t="s">
        <v>112</v>
      </c>
      <c r="G4" s="12" t="s">
        <v>113</v>
      </c>
    </row>
    <row r="5" spans="1:7">
      <c r="A5" s="1" t="s">
        <v>118</v>
      </c>
      <c r="B5" s="12" t="s">
        <v>115</v>
      </c>
      <c r="C5" s="1" t="s">
        <v>109</v>
      </c>
      <c r="D5" s="1" t="s">
        <v>110</v>
      </c>
      <c r="E5" s="1" t="s">
        <v>111</v>
      </c>
      <c r="F5" s="12" t="s">
        <v>116</v>
      </c>
      <c r="G5" s="12" t="s">
        <v>117</v>
      </c>
    </row>
    <row r="6" spans="1:7">
      <c r="A6" s="1" t="s">
        <v>121</v>
      </c>
      <c r="B6" s="12" t="s">
        <v>119</v>
      </c>
      <c r="C6" s="1" t="s">
        <v>109</v>
      </c>
      <c r="D6" s="1" t="s">
        <v>110</v>
      </c>
      <c r="E6" s="1" t="s">
        <v>111</v>
      </c>
      <c r="F6" s="12" t="s">
        <v>116</v>
      </c>
      <c r="G6" s="12" t="s">
        <v>120</v>
      </c>
    </row>
    <row r="7" spans="1:7">
      <c r="A7" s="1" t="s">
        <v>124</v>
      </c>
      <c r="B7" s="12" t="s">
        <v>122</v>
      </c>
      <c r="C7" s="1" t="s">
        <v>109</v>
      </c>
      <c r="D7" s="1" t="s">
        <v>110</v>
      </c>
      <c r="E7" s="1" t="s">
        <v>111</v>
      </c>
      <c r="F7" s="12" t="s">
        <v>116</v>
      </c>
      <c r="G7" s="12" t="s">
        <v>123</v>
      </c>
    </row>
    <row r="8" spans="1:7">
      <c r="A8" s="1" t="s">
        <v>129</v>
      </c>
      <c r="B8" s="12" t="s">
        <v>125</v>
      </c>
      <c r="C8" s="1" t="s">
        <v>109</v>
      </c>
      <c r="D8" s="1" t="s">
        <v>110</v>
      </c>
      <c r="E8" s="1" t="s">
        <v>126</v>
      </c>
      <c r="F8" s="12" t="s">
        <v>127</v>
      </c>
      <c r="G8" s="12" t="s">
        <v>128</v>
      </c>
    </row>
    <row r="9" spans="1:7">
      <c r="A9" s="1" t="s">
        <v>132</v>
      </c>
      <c r="B9" s="12" t="s">
        <v>130</v>
      </c>
      <c r="C9" s="1" t="s">
        <v>109</v>
      </c>
      <c r="D9" s="1" t="s">
        <v>110</v>
      </c>
      <c r="E9" s="1" t="s">
        <v>126</v>
      </c>
      <c r="F9" s="12" t="s">
        <v>127</v>
      </c>
      <c r="G9" s="12" t="s">
        <v>131</v>
      </c>
    </row>
    <row r="10" spans="1:7">
      <c r="A10" s="1" t="s">
        <v>135</v>
      </c>
      <c r="B10" s="12" t="s">
        <v>133</v>
      </c>
      <c r="C10" s="1" t="s">
        <v>109</v>
      </c>
      <c r="D10" s="1" t="s">
        <v>110</v>
      </c>
      <c r="E10" s="1" t="s">
        <v>126</v>
      </c>
      <c r="F10" s="12" t="s">
        <v>127</v>
      </c>
      <c r="G10" s="12" t="s">
        <v>134</v>
      </c>
    </row>
    <row r="11" spans="1:7">
      <c r="A11" s="1" t="s">
        <v>137</v>
      </c>
      <c r="B11" s="12" t="s">
        <v>89</v>
      </c>
      <c r="C11" s="1" t="s">
        <v>109</v>
      </c>
      <c r="D11" s="1" t="s">
        <v>110</v>
      </c>
      <c r="E11" s="1" t="s">
        <v>126</v>
      </c>
      <c r="F11" s="12" t="s">
        <v>127</v>
      </c>
      <c r="G11" s="12" t="s">
        <v>136</v>
      </c>
    </row>
    <row r="12" spans="1:7">
      <c r="A12" s="1" t="s">
        <v>140</v>
      </c>
      <c r="B12" s="12" t="s">
        <v>138</v>
      </c>
      <c r="C12" s="1" t="s">
        <v>109</v>
      </c>
      <c r="D12" s="1" t="s">
        <v>110</v>
      </c>
      <c r="E12" s="1" t="s">
        <v>126</v>
      </c>
      <c r="F12" s="12" t="s">
        <v>127</v>
      </c>
      <c r="G12" s="12" t="s">
        <v>139</v>
      </c>
    </row>
    <row r="13" spans="1:7">
      <c r="A13" s="1" t="s">
        <v>143</v>
      </c>
      <c r="B13" s="12" t="s">
        <v>141</v>
      </c>
      <c r="C13" s="1" t="s">
        <v>109</v>
      </c>
      <c r="D13" s="1" t="s">
        <v>110</v>
      </c>
      <c r="E13" s="1" t="s">
        <v>126</v>
      </c>
      <c r="F13" s="12" t="s">
        <v>127</v>
      </c>
      <c r="G13" s="12" t="s">
        <v>142</v>
      </c>
    </row>
    <row r="14" spans="1:7">
      <c r="A14" s="1" t="s">
        <v>146</v>
      </c>
      <c r="B14" s="12" t="s">
        <v>144</v>
      </c>
      <c r="C14" s="1" t="s">
        <v>109</v>
      </c>
      <c r="D14" s="1" t="s">
        <v>110</v>
      </c>
      <c r="E14" s="1" t="s">
        <v>126</v>
      </c>
      <c r="F14" s="12" t="s">
        <v>127</v>
      </c>
      <c r="G14" s="12" t="s">
        <v>145</v>
      </c>
    </row>
    <row r="15" spans="1:7">
      <c r="A15" s="1" t="s">
        <v>148</v>
      </c>
      <c r="B15" s="12" t="s">
        <v>87</v>
      </c>
      <c r="C15" s="1" t="s">
        <v>109</v>
      </c>
      <c r="D15" s="1" t="s">
        <v>110</v>
      </c>
      <c r="E15" s="1" t="s">
        <v>126</v>
      </c>
      <c r="F15" s="12" t="s">
        <v>127</v>
      </c>
      <c r="G15" s="12" t="s">
        <v>147</v>
      </c>
    </row>
    <row r="16" spans="1:7">
      <c r="A16" s="1" t="s">
        <v>152</v>
      </c>
      <c r="B16" s="12" t="s">
        <v>149</v>
      </c>
      <c r="C16" s="1" t="s">
        <v>109</v>
      </c>
      <c r="D16" s="1" t="s">
        <v>110</v>
      </c>
      <c r="E16" s="1" t="s">
        <v>126</v>
      </c>
      <c r="F16" s="12" t="s">
        <v>150</v>
      </c>
      <c r="G16" s="12" t="s">
        <v>151</v>
      </c>
    </row>
    <row r="17" spans="1:7">
      <c r="A17" s="1" t="s">
        <v>157</v>
      </c>
      <c r="B17" s="12" t="s">
        <v>153</v>
      </c>
      <c r="C17" s="1" t="s">
        <v>109</v>
      </c>
      <c r="D17" s="1" t="s">
        <v>110</v>
      </c>
      <c r="E17" s="1" t="s">
        <v>154</v>
      </c>
      <c r="F17" s="12" t="s">
        <v>155</v>
      </c>
      <c r="G17" s="12" t="s">
        <v>156</v>
      </c>
    </row>
    <row r="18" spans="1:7">
      <c r="A18" s="1" t="s">
        <v>162</v>
      </c>
      <c r="B18" s="12" t="s">
        <v>158</v>
      </c>
      <c r="C18" s="1" t="s">
        <v>109</v>
      </c>
      <c r="D18" s="1" t="s">
        <v>110</v>
      </c>
      <c r="E18" s="1" t="s">
        <v>159</v>
      </c>
      <c r="F18" s="12" t="s">
        <v>160</v>
      </c>
      <c r="G18" s="12" t="s">
        <v>161</v>
      </c>
    </row>
    <row r="19" spans="1:7">
      <c r="A19" s="1" t="s">
        <v>168</v>
      </c>
      <c r="B19" s="12" t="s">
        <v>163</v>
      </c>
      <c r="C19" s="1" t="s">
        <v>109</v>
      </c>
      <c r="D19" s="1" t="s">
        <v>164</v>
      </c>
      <c r="E19" s="1" t="s">
        <v>165</v>
      </c>
      <c r="F19" s="12" t="s">
        <v>166</v>
      </c>
      <c r="G19" s="12" t="s">
        <v>167</v>
      </c>
    </row>
    <row r="20" spans="1:7">
      <c r="A20" s="1" t="s">
        <v>171</v>
      </c>
      <c r="B20" s="12" t="s">
        <v>169</v>
      </c>
      <c r="C20" s="1" t="s">
        <v>109</v>
      </c>
      <c r="D20" s="1" t="s">
        <v>164</v>
      </c>
      <c r="E20" s="1" t="s">
        <v>165</v>
      </c>
      <c r="F20" s="12" t="s">
        <v>166</v>
      </c>
      <c r="G20" s="12" t="s">
        <v>170</v>
      </c>
    </row>
    <row r="21" spans="1:7">
      <c r="A21" s="1" t="s">
        <v>175</v>
      </c>
      <c r="B21" s="12" t="s">
        <v>172</v>
      </c>
      <c r="C21" s="1" t="s">
        <v>109</v>
      </c>
      <c r="D21" s="1" t="s">
        <v>164</v>
      </c>
      <c r="E21" s="1" t="s">
        <v>165</v>
      </c>
      <c r="F21" s="12" t="s">
        <v>173</v>
      </c>
      <c r="G21" s="12" t="s">
        <v>174</v>
      </c>
    </row>
    <row r="22" spans="1:7">
      <c r="A22" s="1" t="s">
        <v>178</v>
      </c>
      <c r="B22" s="12" t="s">
        <v>176</v>
      </c>
      <c r="C22" s="1" t="s">
        <v>109</v>
      </c>
      <c r="D22" s="1" t="s">
        <v>164</v>
      </c>
      <c r="E22" s="1" t="s">
        <v>165</v>
      </c>
      <c r="F22" s="12" t="s">
        <v>173</v>
      </c>
      <c r="G22" s="12" t="s">
        <v>177</v>
      </c>
    </row>
    <row r="23" spans="1:7">
      <c r="A23" s="1" t="s">
        <v>182</v>
      </c>
      <c r="B23" s="12" t="s">
        <v>179</v>
      </c>
      <c r="C23" s="1" t="s">
        <v>109</v>
      </c>
      <c r="D23" s="1" t="s">
        <v>164</v>
      </c>
      <c r="E23" s="1" t="s">
        <v>165</v>
      </c>
      <c r="F23" s="12" t="s">
        <v>180</v>
      </c>
      <c r="G23" s="12" t="s">
        <v>181</v>
      </c>
    </row>
    <row r="24" spans="1:7">
      <c r="A24" s="1" t="s">
        <v>186</v>
      </c>
      <c r="B24" s="12" t="s">
        <v>183</v>
      </c>
      <c r="C24" s="1" t="s">
        <v>109</v>
      </c>
      <c r="D24" s="1" t="s">
        <v>164</v>
      </c>
      <c r="E24" s="1" t="s">
        <v>165</v>
      </c>
      <c r="F24" s="12" t="s">
        <v>184</v>
      </c>
      <c r="G24" s="12" t="s">
        <v>185</v>
      </c>
    </row>
    <row r="25" spans="1:7">
      <c r="A25" s="1" t="s">
        <v>189</v>
      </c>
      <c r="B25" s="12" t="s">
        <v>187</v>
      </c>
      <c r="C25" s="1" t="s">
        <v>109</v>
      </c>
      <c r="D25" s="1" t="s">
        <v>164</v>
      </c>
      <c r="E25" s="1" t="s">
        <v>165</v>
      </c>
      <c r="F25" s="12" t="s">
        <v>184</v>
      </c>
      <c r="G25" s="12" t="s">
        <v>188</v>
      </c>
    </row>
    <row r="26" spans="1:7">
      <c r="A26" s="1" t="s">
        <v>193</v>
      </c>
      <c r="B26" s="12" t="s">
        <v>190</v>
      </c>
      <c r="C26" s="1" t="s">
        <v>109</v>
      </c>
      <c r="D26" s="1" t="s">
        <v>164</v>
      </c>
      <c r="E26" s="1" t="s">
        <v>165</v>
      </c>
      <c r="F26" s="12" t="s">
        <v>191</v>
      </c>
      <c r="G26" s="12" t="s">
        <v>192</v>
      </c>
    </row>
    <row r="27" spans="1:7">
      <c r="A27" s="1" t="s">
        <v>197</v>
      </c>
      <c r="B27" s="12" t="s">
        <v>194</v>
      </c>
      <c r="C27" s="1" t="s">
        <v>109</v>
      </c>
      <c r="D27" s="1" t="s">
        <v>164</v>
      </c>
      <c r="E27" s="1" t="s">
        <v>165</v>
      </c>
      <c r="F27" s="12" t="s">
        <v>195</v>
      </c>
      <c r="G27" s="12" t="s">
        <v>196</v>
      </c>
    </row>
    <row r="28" spans="1:7">
      <c r="A28" s="1" t="s">
        <v>201</v>
      </c>
      <c r="B28" s="12" t="s">
        <v>198</v>
      </c>
      <c r="C28" s="1" t="s">
        <v>109</v>
      </c>
      <c r="D28" s="1" t="s">
        <v>164</v>
      </c>
      <c r="E28" s="1" t="s">
        <v>165</v>
      </c>
      <c r="F28" s="12" t="s">
        <v>199</v>
      </c>
      <c r="G28" s="12" t="s">
        <v>200</v>
      </c>
    </row>
    <row r="29" spans="1:7">
      <c r="A29" s="1" t="s">
        <v>204</v>
      </c>
      <c r="B29" s="12" t="s">
        <v>202</v>
      </c>
      <c r="C29" s="1" t="s">
        <v>109</v>
      </c>
      <c r="D29" s="1" t="s">
        <v>164</v>
      </c>
      <c r="E29" s="1" t="s">
        <v>165</v>
      </c>
      <c r="F29" s="12" t="s">
        <v>199</v>
      </c>
      <c r="G29" s="12" t="s">
        <v>203</v>
      </c>
    </row>
    <row r="30" spans="1:7">
      <c r="A30" s="1" t="s">
        <v>206</v>
      </c>
      <c r="B30" s="12" t="s">
        <v>84</v>
      </c>
      <c r="C30" s="1" t="s">
        <v>109</v>
      </c>
      <c r="D30" s="1" t="s">
        <v>164</v>
      </c>
      <c r="E30" s="1" t="s">
        <v>165</v>
      </c>
      <c r="F30" s="12" t="s">
        <v>199</v>
      </c>
      <c r="G30" s="12" t="s">
        <v>205</v>
      </c>
    </row>
    <row r="31" spans="1:7">
      <c r="A31" s="1" t="s">
        <v>210</v>
      </c>
      <c r="B31" s="12" t="s">
        <v>207</v>
      </c>
      <c r="C31" s="1" t="s">
        <v>109</v>
      </c>
      <c r="D31" s="1" t="s">
        <v>164</v>
      </c>
      <c r="E31" s="1" t="s">
        <v>165</v>
      </c>
      <c r="F31" s="12" t="s">
        <v>208</v>
      </c>
      <c r="G31" s="12" t="s">
        <v>209</v>
      </c>
    </row>
    <row r="32" spans="1:7">
      <c r="A32" s="1" t="s">
        <v>213</v>
      </c>
      <c r="B32" s="12" t="s">
        <v>211</v>
      </c>
      <c r="C32" s="1" t="s">
        <v>109</v>
      </c>
      <c r="D32" s="1" t="s">
        <v>164</v>
      </c>
      <c r="E32" s="1" t="s">
        <v>165</v>
      </c>
      <c r="F32" s="12" t="s">
        <v>208</v>
      </c>
      <c r="G32" s="12" t="s">
        <v>212</v>
      </c>
    </row>
    <row r="33" spans="1:7">
      <c r="A33" s="1" t="s">
        <v>217</v>
      </c>
      <c r="B33" s="12" t="s">
        <v>214</v>
      </c>
      <c r="C33" s="1" t="s">
        <v>109</v>
      </c>
      <c r="D33" s="1" t="s">
        <v>164</v>
      </c>
      <c r="E33" s="1" t="s">
        <v>165</v>
      </c>
      <c r="F33" s="12" t="s">
        <v>215</v>
      </c>
      <c r="G33" s="12" t="s">
        <v>216</v>
      </c>
    </row>
    <row r="34" spans="1:7">
      <c r="A34" s="1" t="s">
        <v>221</v>
      </c>
      <c r="B34" s="12" t="s">
        <v>218</v>
      </c>
      <c r="C34" s="1" t="s">
        <v>109</v>
      </c>
      <c r="D34" s="1" t="s">
        <v>164</v>
      </c>
      <c r="E34" s="1" t="s">
        <v>165</v>
      </c>
      <c r="F34" s="12" t="s">
        <v>219</v>
      </c>
      <c r="G34" s="12" t="s">
        <v>220</v>
      </c>
    </row>
    <row r="35" spans="1:7">
      <c r="A35" s="1" t="s">
        <v>225</v>
      </c>
      <c r="B35" s="12" t="s">
        <v>222</v>
      </c>
      <c r="C35" s="1" t="s">
        <v>109</v>
      </c>
      <c r="D35" s="1" t="s">
        <v>164</v>
      </c>
      <c r="E35" s="1" t="s">
        <v>165</v>
      </c>
      <c r="F35" s="12" t="s">
        <v>223</v>
      </c>
      <c r="G35" s="12" t="s">
        <v>224</v>
      </c>
    </row>
    <row r="36" spans="1:7">
      <c r="A36" s="1" t="s">
        <v>228</v>
      </c>
      <c r="B36" s="12" t="s">
        <v>90</v>
      </c>
      <c r="C36" s="1" t="s">
        <v>109</v>
      </c>
      <c r="D36" s="1" t="s">
        <v>164</v>
      </c>
      <c r="E36" s="1" t="s">
        <v>165</v>
      </c>
      <c r="F36" s="12" t="s">
        <v>226</v>
      </c>
      <c r="G36" s="12" t="s">
        <v>227</v>
      </c>
    </row>
    <row r="37" spans="1:7">
      <c r="A37" s="1" t="s">
        <v>231</v>
      </c>
      <c r="B37" s="12" t="s">
        <v>229</v>
      </c>
      <c r="C37" s="1" t="s">
        <v>109</v>
      </c>
      <c r="D37" s="1" t="s">
        <v>164</v>
      </c>
      <c r="E37" s="1" t="s">
        <v>165</v>
      </c>
      <c r="F37" s="12" t="s">
        <v>226</v>
      </c>
      <c r="G37" s="12" t="s">
        <v>230</v>
      </c>
    </row>
    <row r="38" spans="1:7">
      <c r="A38" s="1" t="s">
        <v>234</v>
      </c>
      <c r="B38" s="12" t="s">
        <v>232</v>
      </c>
      <c r="C38" s="1" t="s">
        <v>109</v>
      </c>
      <c r="D38" s="1" t="s">
        <v>164</v>
      </c>
      <c r="E38" s="1" t="s">
        <v>165</v>
      </c>
      <c r="F38" s="12" t="s">
        <v>233</v>
      </c>
      <c r="G38" s="12" t="s">
        <v>181</v>
      </c>
    </row>
    <row r="39" spans="1:7">
      <c r="A39" s="1" t="s">
        <v>237</v>
      </c>
      <c r="B39" s="12" t="s">
        <v>235</v>
      </c>
      <c r="C39" s="1" t="s">
        <v>109</v>
      </c>
      <c r="D39" s="1" t="s">
        <v>164</v>
      </c>
      <c r="E39" s="1" t="s">
        <v>165</v>
      </c>
      <c r="F39" s="12" t="s">
        <v>233</v>
      </c>
      <c r="G39" s="12" t="s">
        <v>236</v>
      </c>
    </row>
    <row r="40" spans="1:7">
      <c r="A40" s="1" t="s">
        <v>239</v>
      </c>
      <c r="B40" s="12" t="s">
        <v>86</v>
      </c>
      <c r="C40" s="1" t="s">
        <v>109</v>
      </c>
      <c r="D40" s="1" t="s">
        <v>164</v>
      </c>
      <c r="E40" s="1" t="s">
        <v>165</v>
      </c>
      <c r="F40" s="12" t="s">
        <v>233</v>
      </c>
      <c r="G40" s="12" t="s">
        <v>238</v>
      </c>
    </row>
    <row r="41" spans="1:7">
      <c r="A41" s="1" t="s">
        <v>242</v>
      </c>
      <c r="B41" s="12" t="s">
        <v>240</v>
      </c>
      <c r="C41" s="1" t="s">
        <v>109</v>
      </c>
      <c r="D41" s="1" t="s">
        <v>164</v>
      </c>
      <c r="E41" s="1" t="s">
        <v>165</v>
      </c>
      <c r="F41" s="12" t="s">
        <v>233</v>
      </c>
      <c r="G41" s="12" t="s">
        <v>241</v>
      </c>
    </row>
    <row r="42" spans="1:7">
      <c r="A42" s="1" t="s">
        <v>245</v>
      </c>
      <c r="B42" s="12" t="s">
        <v>243</v>
      </c>
      <c r="C42" s="1" t="s">
        <v>109</v>
      </c>
      <c r="D42" s="1" t="s">
        <v>164</v>
      </c>
      <c r="E42" s="1" t="s">
        <v>165</v>
      </c>
      <c r="F42" s="12" t="s">
        <v>233</v>
      </c>
      <c r="G42" s="12" t="s">
        <v>244</v>
      </c>
    </row>
    <row r="43" spans="1:7">
      <c r="A43" s="1" t="s">
        <v>249</v>
      </c>
      <c r="B43" s="12" t="s">
        <v>246</v>
      </c>
      <c r="C43" s="1" t="s">
        <v>109</v>
      </c>
      <c r="D43" s="1" t="s">
        <v>164</v>
      </c>
      <c r="E43" s="1" t="s">
        <v>165</v>
      </c>
      <c r="F43" s="12" t="s">
        <v>247</v>
      </c>
      <c r="G43" s="12" t="s">
        <v>248</v>
      </c>
    </row>
    <row r="44" spans="1:7">
      <c r="A44" s="1" t="s">
        <v>253</v>
      </c>
      <c r="B44" s="12" t="s">
        <v>250</v>
      </c>
      <c r="C44" s="1" t="s">
        <v>109</v>
      </c>
      <c r="D44" s="1" t="s">
        <v>164</v>
      </c>
      <c r="E44" s="1" t="s">
        <v>165</v>
      </c>
      <c r="F44" s="12" t="s">
        <v>251</v>
      </c>
      <c r="G44" s="12" t="s">
        <v>252</v>
      </c>
    </row>
    <row r="45" spans="1:7">
      <c r="A45" s="1" t="s">
        <v>255</v>
      </c>
      <c r="B45" s="12" t="s">
        <v>254</v>
      </c>
      <c r="C45" s="1" t="s">
        <v>109</v>
      </c>
      <c r="D45" s="1" t="s">
        <v>164</v>
      </c>
      <c r="E45" s="1" t="s">
        <v>165</v>
      </c>
      <c r="F45" s="12" t="s">
        <v>251</v>
      </c>
      <c r="G45" s="12" t="s">
        <v>117</v>
      </c>
    </row>
    <row r="46" spans="1:7">
      <c r="A46" s="1" t="s">
        <v>258</v>
      </c>
      <c r="B46" s="12" t="s">
        <v>256</v>
      </c>
      <c r="C46" s="1" t="s">
        <v>109</v>
      </c>
      <c r="D46" s="1" t="s">
        <v>164</v>
      </c>
      <c r="E46" s="1" t="s">
        <v>165</v>
      </c>
      <c r="F46" s="12" t="s">
        <v>251</v>
      </c>
      <c r="G46" s="12" t="s">
        <v>257</v>
      </c>
    </row>
    <row r="47" spans="1:7">
      <c r="A47" s="1" t="s">
        <v>263</v>
      </c>
      <c r="B47" s="12" t="s">
        <v>259</v>
      </c>
      <c r="C47" s="1" t="s">
        <v>109</v>
      </c>
      <c r="D47" s="1" t="s">
        <v>164</v>
      </c>
      <c r="E47" s="1" t="s">
        <v>260</v>
      </c>
      <c r="F47" s="12" t="s">
        <v>261</v>
      </c>
      <c r="G47" s="12" t="s">
        <v>262</v>
      </c>
    </row>
    <row r="48" spans="1:7">
      <c r="A48" s="1" t="s">
        <v>267</v>
      </c>
      <c r="B48" s="12" t="s">
        <v>264</v>
      </c>
      <c r="C48" s="1" t="s">
        <v>109</v>
      </c>
      <c r="D48" s="1" t="s">
        <v>164</v>
      </c>
      <c r="E48" s="1" t="s">
        <v>260</v>
      </c>
      <c r="F48" s="12" t="s">
        <v>265</v>
      </c>
      <c r="G48" s="12" t="s">
        <v>266</v>
      </c>
    </row>
    <row r="49" spans="1:7">
      <c r="A49" s="1" t="s">
        <v>272</v>
      </c>
      <c r="B49" s="12" t="s">
        <v>268</v>
      </c>
      <c r="C49" s="1" t="s">
        <v>109</v>
      </c>
      <c r="D49" s="1" t="s">
        <v>164</v>
      </c>
      <c r="E49" s="1" t="s">
        <v>269</v>
      </c>
      <c r="F49" s="12" t="s">
        <v>270</v>
      </c>
      <c r="G49" s="12" t="s">
        <v>271</v>
      </c>
    </row>
    <row r="50" spans="1:7">
      <c r="A50" s="1" t="s">
        <v>274</v>
      </c>
      <c r="B50" s="12" t="s">
        <v>91</v>
      </c>
      <c r="C50" s="1" t="s">
        <v>109</v>
      </c>
      <c r="D50" s="1" t="s">
        <v>164</v>
      </c>
      <c r="E50" s="1" t="s">
        <v>269</v>
      </c>
      <c r="F50" s="12" t="s">
        <v>270</v>
      </c>
      <c r="G50" s="12" t="s">
        <v>273</v>
      </c>
    </row>
    <row r="51" spans="1:7">
      <c r="A51" s="1" t="s">
        <v>278</v>
      </c>
      <c r="B51" s="12" t="s">
        <v>275</v>
      </c>
      <c r="C51" s="1" t="s">
        <v>109</v>
      </c>
      <c r="D51" s="1" t="s">
        <v>164</v>
      </c>
      <c r="E51" s="1" t="s">
        <v>269</v>
      </c>
      <c r="F51" s="12" t="s">
        <v>276</v>
      </c>
      <c r="G51" s="12" t="s">
        <v>277</v>
      </c>
    </row>
    <row r="52" spans="1:7">
      <c r="A52" s="1" t="s">
        <v>281</v>
      </c>
      <c r="B52" s="12" t="s">
        <v>279</v>
      </c>
      <c r="C52" s="1" t="s">
        <v>109</v>
      </c>
      <c r="D52" s="1" t="s">
        <v>164</v>
      </c>
      <c r="E52" s="1" t="s">
        <v>269</v>
      </c>
      <c r="F52" s="12" t="s">
        <v>276</v>
      </c>
      <c r="G52" s="12" t="s">
        <v>280</v>
      </c>
    </row>
    <row r="53" spans="1:7">
      <c r="A53" s="1" t="s">
        <v>284</v>
      </c>
      <c r="B53" s="12" t="s">
        <v>282</v>
      </c>
      <c r="C53" s="1" t="s">
        <v>109</v>
      </c>
      <c r="D53" s="1" t="s">
        <v>164</v>
      </c>
      <c r="E53" s="1" t="s">
        <v>269</v>
      </c>
      <c r="F53" s="12" t="s">
        <v>276</v>
      </c>
      <c r="G53" s="12" t="s">
        <v>283</v>
      </c>
    </row>
    <row r="54" spans="1:7">
      <c r="A54" s="1" t="s">
        <v>287</v>
      </c>
      <c r="B54" s="12" t="s">
        <v>285</v>
      </c>
      <c r="C54" s="1" t="s">
        <v>109</v>
      </c>
      <c r="D54" s="1" t="s">
        <v>164</v>
      </c>
      <c r="E54" s="1" t="s">
        <v>269</v>
      </c>
      <c r="F54" s="12" t="s">
        <v>276</v>
      </c>
      <c r="G54" s="12" t="s">
        <v>286</v>
      </c>
    </row>
    <row r="55" spans="1:7">
      <c r="A55" s="1" t="s">
        <v>291</v>
      </c>
      <c r="B55" s="12" t="s">
        <v>288</v>
      </c>
      <c r="C55" s="1" t="s">
        <v>109</v>
      </c>
      <c r="D55" s="1" t="s">
        <v>164</v>
      </c>
      <c r="E55" s="1" t="s">
        <v>269</v>
      </c>
      <c r="F55" s="12" t="s">
        <v>289</v>
      </c>
      <c r="G55" s="12" t="s">
        <v>290</v>
      </c>
    </row>
    <row r="56" spans="1:7">
      <c r="A56" s="1" t="s">
        <v>295</v>
      </c>
      <c r="B56" s="12" t="s">
        <v>85</v>
      </c>
      <c r="C56" s="1" t="s">
        <v>109</v>
      </c>
      <c r="D56" s="1" t="s">
        <v>164</v>
      </c>
      <c r="E56" s="1" t="s">
        <v>292</v>
      </c>
      <c r="F56" s="12" t="s">
        <v>293</v>
      </c>
      <c r="G56" s="12" t="s">
        <v>294</v>
      </c>
    </row>
    <row r="57" spans="1:7">
      <c r="A57" s="1" t="s">
        <v>298</v>
      </c>
      <c r="B57" s="12" t="s">
        <v>296</v>
      </c>
      <c r="C57" s="1" t="s">
        <v>109</v>
      </c>
      <c r="D57" s="1" t="s">
        <v>164</v>
      </c>
      <c r="E57" s="1" t="s">
        <v>292</v>
      </c>
      <c r="F57" s="12" t="s">
        <v>293</v>
      </c>
      <c r="G57" s="12" t="s">
        <v>297</v>
      </c>
    </row>
    <row r="58" spans="1:7">
      <c r="A58" s="1" t="s">
        <v>302</v>
      </c>
      <c r="B58" s="12" t="s">
        <v>299</v>
      </c>
      <c r="C58" s="1" t="s">
        <v>109</v>
      </c>
      <c r="D58" s="1" t="s">
        <v>164</v>
      </c>
      <c r="E58" s="1" t="s">
        <v>292</v>
      </c>
      <c r="F58" s="12" t="s">
        <v>300</v>
      </c>
      <c r="G58" s="12" t="s">
        <v>301</v>
      </c>
    </row>
    <row r="59" spans="1:7">
      <c r="A59" s="1" t="s">
        <v>307</v>
      </c>
      <c r="B59" s="12" t="s">
        <v>303</v>
      </c>
      <c r="C59" s="1" t="s">
        <v>109</v>
      </c>
      <c r="D59" s="1" t="s">
        <v>164</v>
      </c>
      <c r="E59" s="1" t="s">
        <v>304</v>
      </c>
      <c r="F59" s="12" t="s">
        <v>305</v>
      </c>
      <c r="G59" s="12" t="s">
        <v>306</v>
      </c>
    </row>
    <row r="60" spans="1:7">
      <c r="A60" s="1" t="s">
        <v>310</v>
      </c>
      <c r="B60" s="12" t="s">
        <v>308</v>
      </c>
      <c r="C60" s="1" t="s">
        <v>109</v>
      </c>
      <c r="D60" s="1" t="s">
        <v>164</v>
      </c>
      <c r="E60" s="1" t="s">
        <v>304</v>
      </c>
      <c r="F60" s="12" t="s">
        <v>305</v>
      </c>
      <c r="G60" s="12" t="s">
        <v>309</v>
      </c>
    </row>
    <row r="61" spans="1:7">
      <c r="A61" s="1" t="s">
        <v>315</v>
      </c>
      <c r="B61" s="12" t="s">
        <v>313</v>
      </c>
      <c r="C61" s="1" t="s">
        <v>109</v>
      </c>
      <c r="D61" s="1" t="s">
        <v>164</v>
      </c>
      <c r="E61" s="1" t="s">
        <v>311</v>
      </c>
      <c r="F61" s="12" t="s">
        <v>312</v>
      </c>
      <c r="G61" s="12" t="s">
        <v>314</v>
      </c>
    </row>
    <row r="62" spans="1:7">
      <c r="A62" s="1" t="s">
        <v>319</v>
      </c>
      <c r="B62" s="12" t="s">
        <v>316</v>
      </c>
      <c r="C62" s="1" t="s">
        <v>109</v>
      </c>
      <c r="D62" s="1" t="s">
        <v>164</v>
      </c>
      <c r="E62" s="1" t="s">
        <v>311</v>
      </c>
      <c r="F62" s="12" t="s">
        <v>317</v>
      </c>
      <c r="G62" s="12" t="s">
        <v>318</v>
      </c>
    </row>
    <row r="63" spans="1:7">
      <c r="A63" s="1" t="s">
        <v>323</v>
      </c>
      <c r="B63" s="12" t="s">
        <v>320</v>
      </c>
      <c r="C63" s="1" t="s">
        <v>109</v>
      </c>
      <c r="D63" s="1" t="s">
        <v>164</v>
      </c>
      <c r="E63" s="1" t="s">
        <v>311</v>
      </c>
      <c r="F63" s="12" t="s">
        <v>321</v>
      </c>
      <c r="G63" s="12" t="s">
        <v>322</v>
      </c>
    </row>
    <row r="64" spans="1:7">
      <c r="A64" s="1" t="s">
        <v>327</v>
      </c>
      <c r="B64" s="12" t="s">
        <v>88</v>
      </c>
      <c r="C64" s="1" t="s">
        <v>109</v>
      </c>
      <c r="D64" s="1" t="s">
        <v>164</v>
      </c>
      <c r="E64" s="1" t="s">
        <v>324</v>
      </c>
      <c r="F64" s="12" t="s">
        <v>325</v>
      </c>
      <c r="G64" s="12" t="s">
        <v>326</v>
      </c>
    </row>
    <row r="65" spans="1:7">
      <c r="A65" s="1" t="s">
        <v>331</v>
      </c>
      <c r="B65" s="12" t="s">
        <v>328</v>
      </c>
      <c r="C65" s="1" t="s">
        <v>109</v>
      </c>
      <c r="D65" s="1" t="s">
        <v>164</v>
      </c>
      <c r="E65" s="1" t="s">
        <v>324</v>
      </c>
      <c r="F65" s="12" t="s">
        <v>329</v>
      </c>
      <c r="G65" s="12" t="s">
        <v>330</v>
      </c>
    </row>
    <row r="66" spans="1:7">
      <c r="A66" s="1" t="s">
        <v>335</v>
      </c>
      <c r="B66" s="12" t="s">
        <v>332</v>
      </c>
      <c r="C66" s="1" t="s">
        <v>109</v>
      </c>
      <c r="D66" s="1" t="s">
        <v>164</v>
      </c>
      <c r="E66" s="1" t="s">
        <v>324</v>
      </c>
      <c r="F66" s="12" t="s">
        <v>333</v>
      </c>
      <c r="G66" s="12" t="s">
        <v>334</v>
      </c>
    </row>
    <row r="67" spans="1:7">
      <c r="A67" s="1" t="s">
        <v>339</v>
      </c>
      <c r="B67" s="12" t="s">
        <v>336</v>
      </c>
      <c r="C67" s="1" t="s">
        <v>109</v>
      </c>
      <c r="D67" s="1" t="s">
        <v>164</v>
      </c>
      <c r="E67" s="1" t="s">
        <v>324</v>
      </c>
      <c r="F67" s="12" t="s">
        <v>337</v>
      </c>
      <c r="G67" s="12" t="s">
        <v>338</v>
      </c>
    </row>
    <row r="68" spans="1:7">
      <c r="A68" s="1" t="s">
        <v>342</v>
      </c>
      <c r="B68" s="12" t="s">
        <v>340</v>
      </c>
      <c r="C68" s="1" t="s">
        <v>109</v>
      </c>
      <c r="D68" s="1" t="s">
        <v>164</v>
      </c>
      <c r="E68" s="1" t="s">
        <v>324</v>
      </c>
      <c r="F68" s="12" t="s">
        <v>337</v>
      </c>
      <c r="G68" s="12" t="s">
        <v>341</v>
      </c>
    </row>
    <row r="69" spans="1:7">
      <c r="A69" s="1" t="s">
        <v>345</v>
      </c>
      <c r="B69" s="12" t="s">
        <v>343</v>
      </c>
      <c r="C69" s="1" t="s">
        <v>109</v>
      </c>
      <c r="D69" s="1" t="s">
        <v>164</v>
      </c>
      <c r="E69" s="1" t="s">
        <v>324</v>
      </c>
      <c r="F69" s="12" t="s">
        <v>337</v>
      </c>
      <c r="G69" s="12" t="s">
        <v>344</v>
      </c>
    </row>
    <row r="70" spans="1:7">
      <c r="A70" s="1" t="s">
        <v>348</v>
      </c>
      <c r="B70" s="12" t="s">
        <v>346</v>
      </c>
      <c r="C70" s="1" t="s">
        <v>109</v>
      </c>
      <c r="D70" s="1" t="s">
        <v>164</v>
      </c>
      <c r="E70" s="1" t="s">
        <v>324</v>
      </c>
      <c r="F70" s="12" t="s">
        <v>337</v>
      </c>
      <c r="G70" s="12" t="s">
        <v>347</v>
      </c>
    </row>
    <row r="71" spans="1:7">
      <c r="A71" s="1" t="s">
        <v>351</v>
      </c>
      <c r="B71" s="12" t="s">
        <v>349</v>
      </c>
      <c r="C71" s="1" t="s">
        <v>109</v>
      </c>
      <c r="D71" s="1" t="s">
        <v>164</v>
      </c>
      <c r="E71" s="1" t="s">
        <v>324</v>
      </c>
      <c r="F71" s="12" t="s">
        <v>337</v>
      </c>
      <c r="G71" s="12" t="s">
        <v>350</v>
      </c>
    </row>
    <row r="72" spans="1:7">
      <c r="A72" s="1" t="s">
        <v>354</v>
      </c>
      <c r="B72" s="12" t="s">
        <v>352</v>
      </c>
      <c r="C72" s="1" t="s">
        <v>109</v>
      </c>
      <c r="D72" s="1" t="s">
        <v>164</v>
      </c>
      <c r="E72" s="1" t="s">
        <v>324</v>
      </c>
      <c r="F72" s="12" t="s">
        <v>337</v>
      </c>
      <c r="G72" s="12" t="s">
        <v>353</v>
      </c>
    </row>
    <row r="73" spans="1:7">
      <c r="A73" s="1" t="s">
        <v>357</v>
      </c>
      <c r="B73" s="12" t="s">
        <v>355</v>
      </c>
      <c r="C73" s="1" t="s">
        <v>109</v>
      </c>
      <c r="D73" s="1" t="s">
        <v>164</v>
      </c>
      <c r="E73" s="1" t="s">
        <v>324</v>
      </c>
      <c r="F73" s="12" t="s">
        <v>337</v>
      </c>
      <c r="G73" s="12" t="s">
        <v>356</v>
      </c>
    </row>
    <row r="74" spans="1:7">
      <c r="A74" s="1" t="s">
        <v>361</v>
      </c>
      <c r="B74" s="12" t="s">
        <v>358</v>
      </c>
      <c r="C74" s="1" t="s">
        <v>109</v>
      </c>
      <c r="D74" s="1" t="s">
        <v>164</v>
      </c>
      <c r="E74" s="1" t="s">
        <v>324</v>
      </c>
      <c r="F74" s="12" t="s">
        <v>359</v>
      </c>
      <c r="G74" s="12" t="s">
        <v>360</v>
      </c>
    </row>
    <row r="75" spans="1:7">
      <c r="B75" s="12"/>
      <c r="F75" s="12"/>
      <c r="G75" s="12"/>
    </row>
    <row r="76" spans="1:7">
      <c r="A76" s="14" t="s">
        <v>531</v>
      </c>
      <c r="B76" s="14"/>
      <c r="C76" s="14"/>
      <c r="D76" s="14"/>
      <c r="E76" s="14"/>
      <c r="F76" s="14"/>
      <c r="G76" s="14"/>
    </row>
    <row r="77" spans="1:7">
      <c r="A77" s="1" t="s">
        <v>102</v>
      </c>
      <c r="B77" s="12" t="s">
        <v>97</v>
      </c>
      <c r="C77" s="1" t="s">
        <v>98</v>
      </c>
      <c r="E77" s="1" t="s">
        <v>99</v>
      </c>
      <c r="F77" s="12" t="s">
        <v>100</v>
      </c>
      <c r="G77" s="12" t="s">
        <v>101</v>
      </c>
    </row>
    <row r="78" spans="1:7">
      <c r="A78" s="1" t="s">
        <v>107</v>
      </c>
      <c r="B78" s="12" t="s">
        <v>105</v>
      </c>
      <c r="C78" s="1" t="s">
        <v>98</v>
      </c>
      <c r="E78" s="1" t="s">
        <v>103</v>
      </c>
      <c r="F78" s="12" t="s">
        <v>104</v>
      </c>
      <c r="G78" s="12" t="s">
        <v>106</v>
      </c>
    </row>
    <row r="79" spans="1:7">
      <c r="A79" s="1" t="s">
        <v>367</v>
      </c>
      <c r="B79" s="12" t="s">
        <v>362</v>
      </c>
      <c r="C79" s="1" t="s">
        <v>363</v>
      </c>
      <c r="D79" s="1" t="s">
        <v>364</v>
      </c>
      <c r="E79" s="1" t="s">
        <v>365</v>
      </c>
      <c r="F79" s="12" t="s">
        <v>366</v>
      </c>
      <c r="G79" s="12" t="s">
        <v>117</v>
      </c>
    </row>
    <row r="80" spans="1:7">
      <c r="A80" s="1" t="s">
        <v>370</v>
      </c>
      <c r="B80" s="12" t="s">
        <v>368</v>
      </c>
      <c r="C80" s="1" t="s">
        <v>363</v>
      </c>
      <c r="D80" s="1" t="s">
        <v>364</v>
      </c>
      <c r="E80" s="1" t="s">
        <v>365</v>
      </c>
      <c r="F80" s="12" t="s">
        <v>366</v>
      </c>
      <c r="G80" s="12" t="s">
        <v>369</v>
      </c>
    </row>
    <row r="81" spans="1:7">
      <c r="A81" s="1" t="s">
        <v>373</v>
      </c>
      <c r="B81" s="12" t="s">
        <v>371</v>
      </c>
      <c r="C81" s="1" t="s">
        <v>363</v>
      </c>
      <c r="D81" s="1" t="s">
        <v>364</v>
      </c>
      <c r="E81" s="1" t="s">
        <v>365</v>
      </c>
      <c r="F81" s="12" t="s">
        <v>366</v>
      </c>
      <c r="G81" s="12" t="s">
        <v>372</v>
      </c>
    </row>
    <row r="82" spans="1:7">
      <c r="A82" s="1" t="s">
        <v>376</v>
      </c>
      <c r="B82" s="12" t="s">
        <v>374</v>
      </c>
      <c r="C82" s="1" t="s">
        <v>363</v>
      </c>
      <c r="D82" s="1" t="s">
        <v>364</v>
      </c>
      <c r="E82" s="1" t="s">
        <v>365</v>
      </c>
      <c r="F82" s="12" t="s">
        <v>366</v>
      </c>
      <c r="G82" s="12" t="s">
        <v>375</v>
      </c>
    </row>
    <row r="83" spans="1:7">
      <c r="A83" s="1" t="s">
        <v>380</v>
      </c>
      <c r="B83" s="12" t="s">
        <v>377</v>
      </c>
      <c r="C83" s="1" t="s">
        <v>363</v>
      </c>
      <c r="D83" s="1" t="s">
        <v>364</v>
      </c>
      <c r="E83" s="1" t="s">
        <v>365</v>
      </c>
      <c r="F83" s="12" t="s">
        <v>378</v>
      </c>
      <c r="G83" s="12" t="s">
        <v>379</v>
      </c>
    </row>
    <row r="84" spans="1:7">
      <c r="A84" s="1" t="s">
        <v>384</v>
      </c>
      <c r="B84" s="12" t="s">
        <v>381</v>
      </c>
      <c r="C84" s="1" t="s">
        <v>363</v>
      </c>
      <c r="D84" s="1" t="s">
        <v>364</v>
      </c>
      <c r="E84" s="1" t="s">
        <v>365</v>
      </c>
      <c r="F84" s="12" t="s">
        <v>382</v>
      </c>
      <c r="G84" s="12" t="s">
        <v>383</v>
      </c>
    </row>
    <row r="85" spans="1:7">
      <c r="A85" s="1" t="s">
        <v>388</v>
      </c>
      <c r="B85" s="12" t="s">
        <v>385</v>
      </c>
      <c r="C85" s="1" t="s">
        <v>363</v>
      </c>
      <c r="D85" s="1" t="s">
        <v>364</v>
      </c>
      <c r="E85" s="1" t="s">
        <v>365</v>
      </c>
      <c r="F85" s="12" t="s">
        <v>386</v>
      </c>
      <c r="G85" s="12" t="s">
        <v>387</v>
      </c>
    </row>
    <row r="86" spans="1:7">
      <c r="A86" s="1" t="s">
        <v>392</v>
      </c>
      <c r="B86" s="12" t="s">
        <v>389</v>
      </c>
      <c r="C86" s="1" t="s">
        <v>363</v>
      </c>
      <c r="D86" s="1" t="s">
        <v>364</v>
      </c>
      <c r="E86" s="1" t="s">
        <v>365</v>
      </c>
      <c r="F86" s="12" t="s">
        <v>390</v>
      </c>
      <c r="G86" s="12" t="s">
        <v>391</v>
      </c>
    </row>
    <row r="87" spans="1:7">
      <c r="A87" s="1" t="s">
        <v>396</v>
      </c>
      <c r="B87" s="12" t="s">
        <v>393</v>
      </c>
      <c r="C87" s="1" t="s">
        <v>363</v>
      </c>
      <c r="D87" s="1" t="s">
        <v>364</v>
      </c>
      <c r="E87" s="1" t="s">
        <v>365</v>
      </c>
      <c r="F87" s="12" t="s">
        <v>394</v>
      </c>
      <c r="G87" s="12" t="s">
        <v>395</v>
      </c>
    </row>
    <row r="88" spans="1:7">
      <c r="A88" s="1" t="s">
        <v>400</v>
      </c>
      <c r="B88" s="12" t="s">
        <v>397</v>
      </c>
      <c r="C88" s="1" t="s">
        <v>363</v>
      </c>
      <c r="D88" s="1" t="s">
        <v>364</v>
      </c>
      <c r="E88" s="1" t="s">
        <v>365</v>
      </c>
      <c r="F88" s="12" t="s">
        <v>398</v>
      </c>
      <c r="G88" s="12" t="s">
        <v>399</v>
      </c>
    </row>
    <row r="89" spans="1:7">
      <c r="A89" s="1" t="s">
        <v>403</v>
      </c>
      <c r="B89" s="12" t="s">
        <v>401</v>
      </c>
      <c r="C89" s="1" t="s">
        <v>363</v>
      </c>
      <c r="D89" s="1" t="s">
        <v>364</v>
      </c>
      <c r="E89" s="1" t="s">
        <v>365</v>
      </c>
      <c r="F89" s="12" t="s">
        <v>398</v>
      </c>
      <c r="G89" s="12" t="s">
        <v>402</v>
      </c>
    </row>
    <row r="90" spans="1:7">
      <c r="A90" s="1" t="s">
        <v>406</v>
      </c>
      <c r="B90" s="12" t="s">
        <v>404</v>
      </c>
      <c r="C90" s="1" t="s">
        <v>363</v>
      </c>
      <c r="D90" s="1" t="s">
        <v>364</v>
      </c>
      <c r="E90" s="1" t="s">
        <v>365</v>
      </c>
      <c r="F90" s="12" t="s">
        <v>398</v>
      </c>
      <c r="G90" s="12" t="s">
        <v>405</v>
      </c>
    </row>
    <row r="91" spans="1:7">
      <c r="A91" s="1" t="s">
        <v>411</v>
      </c>
      <c r="B91" s="12" t="s">
        <v>407</v>
      </c>
      <c r="C91" s="1" t="s">
        <v>363</v>
      </c>
      <c r="D91" s="1" t="s">
        <v>364</v>
      </c>
      <c r="E91" s="1" t="s">
        <v>408</v>
      </c>
      <c r="F91" s="12" t="s">
        <v>409</v>
      </c>
      <c r="G91" s="12" t="s">
        <v>410</v>
      </c>
    </row>
    <row r="92" spans="1:7">
      <c r="A92" s="1" t="s">
        <v>416</v>
      </c>
      <c r="B92" s="12" t="s">
        <v>412</v>
      </c>
      <c r="C92" s="1" t="s">
        <v>363</v>
      </c>
      <c r="D92" s="1" t="s">
        <v>364</v>
      </c>
      <c r="E92" s="1" t="s">
        <v>413</v>
      </c>
      <c r="F92" s="12" t="s">
        <v>414</v>
      </c>
      <c r="G92" s="12" t="s">
        <v>415</v>
      </c>
    </row>
    <row r="93" spans="1:7">
      <c r="A93" s="1" t="s">
        <v>420</v>
      </c>
      <c r="B93" s="12" t="s">
        <v>417</v>
      </c>
      <c r="C93" s="1" t="s">
        <v>363</v>
      </c>
      <c r="D93" s="1" t="s">
        <v>364</v>
      </c>
      <c r="E93" s="1" t="s">
        <v>413</v>
      </c>
      <c r="F93" s="12" t="s">
        <v>418</v>
      </c>
      <c r="G93" s="12" t="s">
        <v>419</v>
      </c>
    </row>
    <row r="94" spans="1:7">
      <c r="A94" s="1" t="s">
        <v>424</v>
      </c>
      <c r="B94" s="12" t="s">
        <v>421</v>
      </c>
      <c r="C94" s="1" t="s">
        <v>363</v>
      </c>
      <c r="D94" s="1" t="s">
        <v>364</v>
      </c>
      <c r="E94" s="1" t="s">
        <v>413</v>
      </c>
      <c r="F94" s="12" t="s">
        <v>422</v>
      </c>
      <c r="G94" s="12" t="s">
        <v>423</v>
      </c>
    </row>
    <row r="95" spans="1:7">
      <c r="A95" s="1" t="s">
        <v>428</v>
      </c>
      <c r="B95" s="12" t="s">
        <v>425</v>
      </c>
      <c r="C95" s="1" t="s">
        <v>363</v>
      </c>
      <c r="D95" s="1" t="s">
        <v>364</v>
      </c>
      <c r="E95" s="1" t="s">
        <v>413</v>
      </c>
      <c r="F95" s="12" t="s">
        <v>426</v>
      </c>
      <c r="G95" s="12" t="s">
        <v>427</v>
      </c>
    </row>
    <row r="96" spans="1:7">
      <c r="A96" s="1" t="s">
        <v>432</v>
      </c>
      <c r="B96" s="12" t="s">
        <v>429</v>
      </c>
      <c r="C96" s="1" t="s">
        <v>363</v>
      </c>
      <c r="D96" s="1" t="s">
        <v>364</v>
      </c>
      <c r="E96" s="1" t="s">
        <v>413</v>
      </c>
      <c r="F96" s="12" t="s">
        <v>430</v>
      </c>
      <c r="G96" s="12" t="s">
        <v>431</v>
      </c>
    </row>
    <row r="97" spans="1:7">
      <c r="A97" s="1" t="s">
        <v>436</v>
      </c>
      <c r="B97" s="12" t="s">
        <v>433</v>
      </c>
      <c r="C97" s="1" t="s">
        <v>363</v>
      </c>
      <c r="D97" s="1" t="s">
        <v>364</v>
      </c>
      <c r="E97" s="1" t="s">
        <v>413</v>
      </c>
      <c r="F97" s="12" t="s">
        <v>434</v>
      </c>
      <c r="G97" s="12" t="s">
        <v>435</v>
      </c>
    </row>
    <row r="98" spans="1:7">
      <c r="A98" s="1" t="s">
        <v>440</v>
      </c>
      <c r="B98" s="12" t="s">
        <v>437</v>
      </c>
      <c r="C98" s="1" t="s">
        <v>363</v>
      </c>
      <c r="D98" s="1" t="s">
        <v>364</v>
      </c>
      <c r="E98" s="1" t="s">
        <v>413</v>
      </c>
      <c r="F98" s="12" t="s">
        <v>438</v>
      </c>
      <c r="G98" s="12" t="s">
        <v>439</v>
      </c>
    </row>
    <row r="99" spans="1:7">
      <c r="A99" s="1" t="s">
        <v>444</v>
      </c>
      <c r="B99" s="12" t="s">
        <v>442</v>
      </c>
      <c r="C99" s="1" t="s">
        <v>363</v>
      </c>
      <c r="D99" s="1" t="s">
        <v>364</v>
      </c>
      <c r="E99" s="1" t="s">
        <v>413</v>
      </c>
      <c r="F99" s="12" t="s">
        <v>441</v>
      </c>
      <c r="G99" s="12" t="s">
        <v>443</v>
      </c>
    </row>
    <row r="100" spans="1:7">
      <c r="A100" s="1" t="s">
        <v>448</v>
      </c>
      <c r="B100" s="12" t="s">
        <v>445</v>
      </c>
      <c r="C100" s="1" t="s">
        <v>363</v>
      </c>
      <c r="D100" s="1" t="s">
        <v>364</v>
      </c>
      <c r="E100" s="1" t="s">
        <v>413</v>
      </c>
      <c r="F100" s="12" t="s">
        <v>446</v>
      </c>
      <c r="G100" s="12" t="s">
        <v>447</v>
      </c>
    </row>
    <row r="101" spans="1:7">
      <c r="A101" s="1" t="s">
        <v>452</v>
      </c>
      <c r="B101" s="12" t="s">
        <v>449</v>
      </c>
      <c r="C101" s="1" t="s">
        <v>363</v>
      </c>
      <c r="D101" s="1" t="s">
        <v>364</v>
      </c>
      <c r="E101" s="1" t="s">
        <v>413</v>
      </c>
      <c r="F101" s="12" t="s">
        <v>450</v>
      </c>
      <c r="G101" s="12" t="s">
        <v>451</v>
      </c>
    </row>
    <row r="102" spans="1:7">
      <c r="A102" s="1" t="s">
        <v>456</v>
      </c>
      <c r="B102" s="12" t="s">
        <v>453</v>
      </c>
      <c r="C102" s="1" t="s">
        <v>363</v>
      </c>
      <c r="D102" s="1" t="s">
        <v>364</v>
      </c>
      <c r="E102" s="1" t="s">
        <v>413</v>
      </c>
      <c r="F102" s="12" t="s">
        <v>454</v>
      </c>
      <c r="G102" s="12" t="s">
        <v>455</v>
      </c>
    </row>
    <row r="103" spans="1:7">
      <c r="A103" s="1" t="s">
        <v>460</v>
      </c>
      <c r="B103" s="12" t="s">
        <v>457</v>
      </c>
      <c r="C103" s="1" t="s">
        <v>363</v>
      </c>
      <c r="D103" s="1" t="s">
        <v>364</v>
      </c>
      <c r="E103" s="1" t="s">
        <v>413</v>
      </c>
      <c r="F103" s="12" t="s">
        <v>458</v>
      </c>
      <c r="G103" s="12" t="s">
        <v>459</v>
      </c>
    </row>
    <row r="104" spans="1:7">
      <c r="A104" s="1" t="s">
        <v>463</v>
      </c>
      <c r="B104" s="12" t="s">
        <v>461</v>
      </c>
      <c r="C104" s="1" t="s">
        <v>363</v>
      </c>
      <c r="D104" s="1" t="s">
        <v>364</v>
      </c>
      <c r="E104" s="1" t="s">
        <v>413</v>
      </c>
      <c r="F104" s="12" t="s">
        <v>458</v>
      </c>
      <c r="G104" s="12" t="s">
        <v>462</v>
      </c>
    </row>
    <row r="105" spans="1:7">
      <c r="A105" s="1" t="s">
        <v>467</v>
      </c>
      <c r="B105" s="12" t="s">
        <v>464</v>
      </c>
      <c r="C105" s="1" t="s">
        <v>363</v>
      </c>
      <c r="D105" s="1" t="s">
        <v>364</v>
      </c>
      <c r="E105" s="1" t="s">
        <v>413</v>
      </c>
      <c r="F105" s="12" t="s">
        <v>465</v>
      </c>
      <c r="G105" s="12" t="s">
        <v>466</v>
      </c>
    </row>
    <row r="106" spans="1:7">
      <c r="A106" s="1" t="s">
        <v>470</v>
      </c>
      <c r="B106" s="12" t="s">
        <v>468</v>
      </c>
      <c r="C106" s="1" t="s">
        <v>363</v>
      </c>
      <c r="D106" s="1" t="s">
        <v>364</v>
      </c>
      <c r="E106" s="1" t="s">
        <v>413</v>
      </c>
      <c r="F106" s="12" t="s">
        <v>465</v>
      </c>
      <c r="G106" s="12" t="s">
        <v>469</v>
      </c>
    </row>
    <row r="107" spans="1:7">
      <c r="A107" s="1" t="s">
        <v>473</v>
      </c>
      <c r="B107" s="12" t="s">
        <v>471</v>
      </c>
      <c r="C107" s="1" t="s">
        <v>363</v>
      </c>
      <c r="D107" s="1" t="s">
        <v>364</v>
      </c>
      <c r="E107" s="1" t="s">
        <v>413</v>
      </c>
      <c r="F107" s="12" t="s">
        <v>465</v>
      </c>
      <c r="G107" s="12" t="s">
        <v>472</v>
      </c>
    </row>
    <row r="108" spans="1:7">
      <c r="A108" s="1" t="s">
        <v>478</v>
      </c>
      <c r="B108" s="12" t="s">
        <v>474</v>
      </c>
      <c r="C108" s="1" t="s">
        <v>363</v>
      </c>
      <c r="D108" s="1" t="s">
        <v>364</v>
      </c>
      <c r="E108" s="1" t="s">
        <v>475</v>
      </c>
      <c r="F108" s="12" t="s">
        <v>476</v>
      </c>
      <c r="G108" s="12" t="s">
        <v>477</v>
      </c>
    </row>
    <row r="109" spans="1:7">
      <c r="A109" s="1" t="s">
        <v>483</v>
      </c>
      <c r="B109" s="12" t="s">
        <v>479</v>
      </c>
      <c r="C109" s="1" t="s">
        <v>363</v>
      </c>
      <c r="D109" s="1" t="s">
        <v>364</v>
      </c>
      <c r="E109" s="1" t="s">
        <v>480</v>
      </c>
      <c r="F109" s="12" t="s">
        <v>481</v>
      </c>
      <c r="G109" s="12" t="s">
        <v>482</v>
      </c>
    </row>
    <row r="110" spans="1:7">
      <c r="A110" s="1" t="s">
        <v>487</v>
      </c>
      <c r="B110" s="12" t="s">
        <v>484</v>
      </c>
      <c r="C110" s="1" t="s">
        <v>363</v>
      </c>
      <c r="D110" s="1" t="s">
        <v>364</v>
      </c>
      <c r="E110" s="1" t="s">
        <v>480</v>
      </c>
      <c r="F110" s="12" t="s">
        <v>485</v>
      </c>
      <c r="G110" s="12" t="s">
        <v>486</v>
      </c>
    </row>
    <row r="111" spans="1:7">
      <c r="B111" s="12"/>
      <c r="F111" s="12"/>
      <c r="G111" s="12"/>
    </row>
    <row r="112" spans="1:7">
      <c r="A112" s="14" t="s">
        <v>530</v>
      </c>
      <c r="B112" s="14"/>
      <c r="C112" s="14"/>
      <c r="D112" s="14"/>
      <c r="E112" s="14"/>
      <c r="F112" s="14"/>
      <c r="G112" s="14"/>
    </row>
    <row r="113" spans="1:7">
      <c r="A113" s="1" t="s">
        <v>492</v>
      </c>
      <c r="B113" s="12" t="s">
        <v>488</v>
      </c>
      <c r="C113" s="1" t="s">
        <v>535</v>
      </c>
      <c r="E113" s="1" t="s">
        <v>489</v>
      </c>
      <c r="F113" s="12" t="s">
        <v>490</v>
      </c>
      <c r="G113" s="12" t="s">
        <v>491</v>
      </c>
    </row>
    <row r="114" spans="1:7">
      <c r="A114" s="1" t="s">
        <v>496</v>
      </c>
      <c r="B114" s="12" t="s">
        <v>493</v>
      </c>
      <c r="C114" s="1" t="s">
        <v>535</v>
      </c>
      <c r="E114" s="1" t="s">
        <v>489</v>
      </c>
      <c r="F114" s="12" t="s">
        <v>494</v>
      </c>
      <c r="G114" s="12" t="s">
        <v>495</v>
      </c>
    </row>
    <row r="115" spans="1:7">
      <c r="A115" s="1" t="s">
        <v>501</v>
      </c>
      <c r="B115" s="12" t="s">
        <v>497</v>
      </c>
      <c r="C115" s="1" t="s">
        <v>535</v>
      </c>
      <c r="E115" s="1" t="s">
        <v>498</v>
      </c>
      <c r="F115" s="12" t="s">
        <v>499</v>
      </c>
      <c r="G115" s="12" t="s">
        <v>500</v>
      </c>
    </row>
    <row r="116" spans="1:7">
      <c r="A116" s="1" t="s">
        <v>506</v>
      </c>
      <c r="B116" s="12" t="s">
        <v>502</v>
      </c>
      <c r="C116" s="1" t="s">
        <v>535</v>
      </c>
      <c r="E116" s="1" t="s">
        <v>503</v>
      </c>
      <c r="F116" s="12" t="s">
        <v>504</v>
      </c>
      <c r="G116" s="12" t="s">
        <v>505</v>
      </c>
    </row>
    <row r="117" spans="1:7">
      <c r="A117" s="1" t="s">
        <v>510</v>
      </c>
      <c r="B117" s="12" t="s">
        <v>507</v>
      </c>
      <c r="C117" s="1" t="s">
        <v>536</v>
      </c>
      <c r="E117" s="1" t="s">
        <v>508</v>
      </c>
      <c r="F117" s="12" t="s">
        <v>509</v>
      </c>
      <c r="G117" s="12" t="s">
        <v>142</v>
      </c>
    </row>
    <row r="118" spans="1:7">
      <c r="A118" s="1" t="s">
        <v>520</v>
      </c>
      <c r="B118" s="12" t="s">
        <v>516</v>
      </c>
      <c r="C118" s="1" t="s">
        <v>363</v>
      </c>
      <c r="D118" s="1" t="s">
        <v>539</v>
      </c>
      <c r="E118" s="1" t="s">
        <v>517</v>
      </c>
      <c r="F118" s="12" t="s">
        <v>518</v>
      </c>
      <c r="G118" s="12" t="s">
        <v>519</v>
      </c>
    </row>
    <row r="119" spans="1:7">
      <c r="A119" s="1" t="s">
        <v>525</v>
      </c>
      <c r="B119" s="12" t="s">
        <v>521</v>
      </c>
      <c r="C119" s="1" t="s">
        <v>363</v>
      </c>
      <c r="D119" s="1" t="s">
        <v>364</v>
      </c>
      <c r="E119" s="1" t="s">
        <v>522</v>
      </c>
      <c r="F119" s="12" t="s">
        <v>523</v>
      </c>
      <c r="G119" s="12" t="s">
        <v>524</v>
      </c>
    </row>
    <row r="120" spans="1:7">
      <c r="A120" s="1" t="s">
        <v>515</v>
      </c>
      <c r="B120" s="12" t="s">
        <v>511</v>
      </c>
      <c r="C120" s="1" t="s">
        <v>537</v>
      </c>
      <c r="D120" s="1" t="s">
        <v>538</v>
      </c>
      <c r="E120" s="1" t="s">
        <v>512</v>
      </c>
      <c r="F120" s="12" t="s">
        <v>513</v>
      </c>
      <c r="G120" s="12" t="s">
        <v>514</v>
      </c>
    </row>
    <row r="121" spans="1:7">
      <c r="A121" s="1" t="s">
        <v>526</v>
      </c>
      <c r="B121" s="12" t="s">
        <v>511</v>
      </c>
      <c r="C121" s="1" t="s">
        <v>537</v>
      </c>
      <c r="D121" s="1" t="s">
        <v>538</v>
      </c>
      <c r="E121" s="1" t="s">
        <v>512</v>
      </c>
      <c r="F121" s="12" t="s">
        <v>513</v>
      </c>
      <c r="G121" s="12" t="s">
        <v>514</v>
      </c>
    </row>
    <row r="122" spans="1:7">
      <c r="A122" s="1" t="s">
        <v>527</v>
      </c>
      <c r="B122" s="12" t="s">
        <v>511</v>
      </c>
      <c r="C122" s="1" t="s">
        <v>537</v>
      </c>
      <c r="D122" s="1" t="s">
        <v>538</v>
      </c>
      <c r="E122" s="1" t="s">
        <v>512</v>
      </c>
      <c r="F122" s="12" t="s">
        <v>513</v>
      </c>
      <c r="G122" s="12" t="s">
        <v>514</v>
      </c>
    </row>
    <row r="123" spans="1:7">
      <c r="A123" s="1" t="s">
        <v>528</v>
      </c>
      <c r="B123" s="12" t="s">
        <v>511</v>
      </c>
      <c r="C123" s="1" t="s">
        <v>537</v>
      </c>
      <c r="D123" s="1" t="s">
        <v>538</v>
      </c>
      <c r="E123" s="1" t="s">
        <v>512</v>
      </c>
      <c r="F123" s="12" t="s">
        <v>513</v>
      </c>
      <c r="G123" s="12" t="s">
        <v>514</v>
      </c>
    </row>
    <row r="124" spans="1:7">
      <c r="A124" s="8" t="s">
        <v>529</v>
      </c>
      <c r="B124" s="15" t="s">
        <v>511</v>
      </c>
      <c r="C124" s="8" t="s">
        <v>537</v>
      </c>
      <c r="D124" s="8" t="s">
        <v>538</v>
      </c>
      <c r="E124" s="8" t="s">
        <v>512</v>
      </c>
      <c r="F124" s="15" t="s">
        <v>513</v>
      </c>
      <c r="G124" s="15" t="s">
        <v>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5582-4320-0F44-AEDD-7028513EA85F}">
  <dimension ref="A1:M31"/>
  <sheetViews>
    <sheetView topLeftCell="A9" zoomScale="150" zoomScaleNormal="150" workbookViewId="0">
      <selection activeCell="A30" sqref="A30"/>
    </sheetView>
  </sheetViews>
  <sheetFormatPr baseColWidth="10" defaultRowHeight="16"/>
  <cols>
    <col min="1" max="1" width="35.6640625" style="1" customWidth="1"/>
    <col min="2" max="2" width="11" style="1" customWidth="1"/>
    <col min="3" max="3" width="21" style="1" customWidth="1"/>
    <col min="4" max="5" width="39.6640625" style="1" customWidth="1"/>
    <col min="6" max="7" width="11.33203125" style="1" customWidth="1"/>
    <col min="8" max="9" width="13.1640625" style="1" customWidth="1"/>
    <col min="10" max="16384" width="10.83203125" style="1"/>
  </cols>
  <sheetData>
    <row r="1" spans="1:13">
      <c r="A1" s="13" t="s">
        <v>540</v>
      </c>
    </row>
    <row r="2" spans="1:13" s="18" customFormat="1" ht="58" customHeight="1">
      <c r="A2" s="16" t="s">
        <v>1</v>
      </c>
      <c r="B2" s="16" t="s">
        <v>0</v>
      </c>
      <c r="C2" s="16" t="s">
        <v>63</v>
      </c>
      <c r="D2" s="16" t="s">
        <v>2</v>
      </c>
      <c r="E2" s="16" t="s">
        <v>37</v>
      </c>
      <c r="F2" s="16" t="s">
        <v>61</v>
      </c>
      <c r="G2" s="16" t="s">
        <v>62</v>
      </c>
      <c r="H2" s="16" t="s">
        <v>59</v>
      </c>
      <c r="I2" s="16" t="s">
        <v>60</v>
      </c>
      <c r="J2" s="16" t="s">
        <v>35</v>
      </c>
      <c r="K2" s="16" t="s">
        <v>36</v>
      </c>
      <c r="L2" s="17" t="s">
        <v>38</v>
      </c>
      <c r="M2" s="17" t="s">
        <v>39</v>
      </c>
    </row>
    <row r="3" spans="1:13">
      <c r="A3" s="1" t="s">
        <v>3</v>
      </c>
      <c r="B3" s="1" t="s">
        <v>4</v>
      </c>
      <c r="C3" s="1" t="s">
        <v>64</v>
      </c>
      <c r="D3" s="1" t="s">
        <v>5</v>
      </c>
      <c r="E3" s="1" t="s">
        <v>6</v>
      </c>
      <c r="F3" s="1">
        <f t="shared" ref="F3:F28" si="0">LEN(D3)</f>
        <v>23</v>
      </c>
      <c r="G3" s="1">
        <f t="shared" ref="G3:G28" si="1">LEN(E3)</f>
        <v>27</v>
      </c>
      <c r="H3" s="1">
        <v>297</v>
      </c>
      <c r="I3" s="1">
        <v>491</v>
      </c>
      <c r="J3" s="1">
        <f t="shared" ref="J3:J28" si="2">I3-H3+1+LEN(E3)</f>
        <v>222</v>
      </c>
      <c r="K3" s="1">
        <f t="shared" ref="K3:K28" si="3">J3-F3-G3</f>
        <v>172</v>
      </c>
      <c r="L3" s="5">
        <v>0.52173913043478259</v>
      </c>
      <c r="M3" s="5">
        <v>0.44444444444444442</v>
      </c>
    </row>
    <row r="4" spans="1:13">
      <c r="A4" s="1" t="s">
        <v>7</v>
      </c>
      <c r="B4" s="1" t="s">
        <v>4</v>
      </c>
      <c r="C4" s="1" t="s">
        <v>65</v>
      </c>
      <c r="D4" s="1" t="s">
        <v>8</v>
      </c>
      <c r="E4" s="1" t="s">
        <v>57</v>
      </c>
      <c r="F4" s="1">
        <f t="shared" si="0"/>
        <v>16</v>
      </c>
      <c r="G4" s="1">
        <f t="shared" si="1"/>
        <v>20</v>
      </c>
      <c r="H4" s="1">
        <v>311</v>
      </c>
      <c r="I4" s="1">
        <v>491</v>
      </c>
      <c r="J4" s="1">
        <f t="shared" si="2"/>
        <v>201</v>
      </c>
      <c r="K4" s="1">
        <f t="shared" si="3"/>
        <v>165</v>
      </c>
      <c r="L4" s="5">
        <v>0.8125</v>
      </c>
      <c r="M4" s="5">
        <v>0.42499999999999999</v>
      </c>
    </row>
    <row r="5" spans="1:13">
      <c r="A5" s="1" t="s">
        <v>9</v>
      </c>
      <c r="B5" s="1" t="s">
        <v>4</v>
      </c>
      <c r="C5" s="1" t="s">
        <v>65</v>
      </c>
      <c r="D5" s="1" t="s">
        <v>40</v>
      </c>
      <c r="E5" s="1" t="s">
        <v>41</v>
      </c>
      <c r="F5" s="1">
        <f t="shared" si="0"/>
        <v>15</v>
      </c>
      <c r="G5" s="1">
        <f t="shared" si="1"/>
        <v>18</v>
      </c>
      <c r="H5" s="1">
        <v>925</v>
      </c>
      <c r="I5" s="1">
        <v>1003</v>
      </c>
      <c r="J5" s="1">
        <f t="shared" si="2"/>
        <v>97</v>
      </c>
      <c r="K5" s="1">
        <f t="shared" si="3"/>
        <v>64</v>
      </c>
      <c r="L5" s="5">
        <v>0.76666666666666672</v>
      </c>
      <c r="M5" s="5">
        <v>0.3888888888888889</v>
      </c>
    </row>
    <row r="6" spans="1:13">
      <c r="A6" s="1" t="s">
        <v>10</v>
      </c>
      <c r="B6" s="1" t="s">
        <v>11</v>
      </c>
      <c r="C6" s="1" t="s">
        <v>65</v>
      </c>
      <c r="D6" s="1" t="s">
        <v>42</v>
      </c>
      <c r="E6" s="1" t="s">
        <v>12</v>
      </c>
      <c r="F6" s="1">
        <f t="shared" si="0"/>
        <v>18</v>
      </c>
      <c r="G6" s="1">
        <f t="shared" si="1"/>
        <v>18</v>
      </c>
      <c r="H6" s="1">
        <v>2170</v>
      </c>
      <c r="I6" s="1">
        <v>2385</v>
      </c>
      <c r="J6" s="1">
        <f t="shared" si="2"/>
        <v>234</v>
      </c>
      <c r="K6" s="1">
        <f t="shared" si="3"/>
        <v>198</v>
      </c>
      <c r="L6" s="5">
        <v>0.52777777777777779</v>
      </c>
      <c r="M6" s="5">
        <v>0.55555555555555558</v>
      </c>
    </row>
    <row r="7" spans="1:13">
      <c r="A7" s="1" t="s">
        <v>13</v>
      </c>
      <c r="B7" s="1" t="s">
        <v>11</v>
      </c>
      <c r="C7" s="1" t="s">
        <v>65</v>
      </c>
      <c r="D7" s="1" t="s">
        <v>14</v>
      </c>
      <c r="E7" s="1" t="s">
        <v>15</v>
      </c>
      <c r="F7" s="1">
        <f t="shared" si="0"/>
        <v>17</v>
      </c>
      <c r="G7" s="1">
        <f t="shared" si="1"/>
        <v>21</v>
      </c>
      <c r="H7" s="1">
        <v>915</v>
      </c>
      <c r="I7" s="1">
        <v>1005</v>
      </c>
      <c r="J7" s="1">
        <f t="shared" si="2"/>
        <v>112</v>
      </c>
      <c r="K7" s="1">
        <f t="shared" si="3"/>
        <v>74</v>
      </c>
      <c r="L7" s="5">
        <v>0.76470588235294112</v>
      </c>
      <c r="M7" s="5">
        <v>0.42857142857142855</v>
      </c>
    </row>
    <row r="8" spans="1:13">
      <c r="A8" s="1" t="s">
        <v>16</v>
      </c>
      <c r="B8" s="1" t="s">
        <v>4</v>
      </c>
      <c r="C8" s="1" t="s">
        <v>66</v>
      </c>
      <c r="D8" s="1" t="s">
        <v>17</v>
      </c>
      <c r="E8" s="1" t="s">
        <v>18</v>
      </c>
      <c r="F8" s="1">
        <f t="shared" si="0"/>
        <v>18</v>
      </c>
      <c r="G8" s="1">
        <f t="shared" si="1"/>
        <v>18</v>
      </c>
      <c r="H8" s="1">
        <v>501</v>
      </c>
      <c r="I8" s="1">
        <v>618</v>
      </c>
      <c r="J8" s="1">
        <f t="shared" si="2"/>
        <v>136</v>
      </c>
      <c r="K8" s="1">
        <f t="shared" si="3"/>
        <v>100</v>
      </c>
      <c r="L8" s="5">
        <v>0.44444444444444442</v>
      </c>
      <c r="M8" s="5">
        <v>0.5</v>
      </c>
    </row>
    <row r="9" spans="1:13" ht="18">
      <c r="A9" s="6" t="s">
        <v>3042</v>
      </c>
      <c r="B9" s="6" t="s">
        <v>4</v>
      </c>
      <c r="C9" s="6" t="s">
        <v>67</v>
      </c>
      <c r="D9" s="6" t="s">
        <v>19</v>
      </c>
      <c r="E9" s="6" t="s">
        <v>43</v>
      </c>
      <c r="F9" s="6">
        <f t="shared" si="0"/>
        <v>22</v>
      </c>
      <c r="G9" s="6">
        <f t="shared" si="1"/>
        <v>20</v>
      </c>
      <c r="H9" s="6">
        <v>31</v>
      </c>
      <c r="I9" s="6">
        <v>320</v>
      </c>
      <c r="J9" s="6">
        <f t="shared" si="2"/>
        <v>310</v>
      </c>
      <c r="K9" s="6">
        <f t="shared" si="3"/>
        <v>268</v>
      </c>
      <c r="L9" s="7">
        <v>0.40909090909090912</v>
      </c>
      <c r="M9" s="7">
        <v>0.52500000000000002</v>
      </c>
    </row>
    <row r="10" spans="1:13">
      <c r="A10" s="1" t="s">
        <v>3043</v>
      </c>
      <c r="B10" s="1" t="s">
        <v>4</v>
      </c>
      <c r="C10" s="1" t="s">
        <v>67</v>
      </c>
      <c r="D10" s="1" t="s">
        <v>19</v>
      </c>
      <c r="E10" s="1" t="s">
        <v>6</v>
      </c>
      <c r="F10" s="1">
        <f t="shared" si="0"/>
        <v>22</v>
      </c>
      <c r="G10" s="1">
        <f t="shared" si="1"/>
        <v>27</v>
      </c>
      <c r="H10" s="1">
        <v>31</v>
      </c>
      <c r="I10" s="1">
        <v>491</v>
      </c>
      <c r="J10" s="1">
        <f t="shared" si="2"/>
        <v>488</v>
      </c>
      <c r="K10" s="1">
        <f t="shared" si="3"/>
        <v>439</v>
      </c>
      <c r="L10" s="5">
        <v>0.40909090909090912</v>
      </c>
      <c r="M10" s="5">
        <v>0.44444444444444442</v>
      </c>
    </row>
    <row r="11" spans="1:13">
      <c r="A11" s="1" t="s">
        <v>3044</v>
      </c>
      <c r="B11" s="1" t="s">
        <v>4</v>
      </c>
      <c r="C11" s="1" t="s">
        <v>67</v>
      </c>
      <c r="D11" s="1" t="s">
        <v>44</v>
      </c>
      <c r="E11" s="1" t="s">
        <v>20</v>
      </c>
      <c r="F11" s="1">
        <f t="shared" si="0"/>
        <v>20</v>
      </c>
      <c r="G11" s="1">
        <f t="shared" si="1"/>
        <v>24</v>
      </c>
      <c r="H11" s="1">
        <v>321</v>
      </c>
      <c r="I11" s="1">
        <v>495</v>
      </c>
      <c r="J11" s="1">
        <f t="shared" si="2"/>
        <v>199</v>
      </c>
      <c r="K11" s="1">
        <f t="shared" si="3"/>
        <v>155</v>
      </c>
      <c r="L11" s="5">
        <v>0.52500000000000002</v>
      </c>
      <c r="M11" s="5">
        <v>0.5</v>
      </c>
    </row>
    <row r="12" spans="1:13">
      <c r="A12" s="1" t="s">
        <v>69</v>
      </c>
      <c r="B12" s="1" t="s">
        <v>4</v>
      </c>
      <c r="C12" s="1" t="s">
        <v>67</v>
      </c>
      <c r="D12" s="1" t="s">
        <v>21</v>
      </c>
      <c r="E12" s="1" t="s">
        <v>45</v>
      </c>
      <c r="F12" s="1">
        <f t="shared" si="0"/>
        <v>25</v>
      </c>
      <c r="G12" s="1">
        <f t="shared" si="1"/>
        <v>25</v>
      </c>
      <c r="H12" s="1">
        <v>494</v>
      </c>
      <c r="I12" s="1">
        <v>643</v>
      </c>
      <c r="J12" s="1">
        <f t="shared" si="2"/>
        <v>175</v>
      </c>
      <c r="K12" s="1">
        <f t="shared" si="3"/>
        <v>125</v>
      </c>
      <c r="L12" s="5">
        <v>0.48</v>
      </c>
      <c r="M12" s="5">
        <v>0.48</v>
      </c>
    </row>
    <row r="13" spans="1:13">
      <c r="A13" s="1" t="s">
        <v>3045</v>
      </c>
      <c r="B13" s="1" t="s">
        <v>4</v>
      </c>
      <c r="C13" s="1" t="s">
        <v>67</v>
      </c>
      <c r="D13" s="1" t="s">
        <v>46</v>
      </c>
      <c r="E13" s="1" t="s">
        <v>47</v>
      </c>
      <c r="F13" s="1">
        <f t="shared" si="0"/>
        <v>26</v>
      </c>
      <c r="G13" s="1">
        <f t="shared" si="1"/>
        <v>22</v>
      </c>
      <c r="H13" s="1">
        <v>642</v>
      </c>
      <c r="I13" s="1">
        <v>1015</v>
      </c>
      <c r="J13" s="1">
        <f t="shared" si="2"/>
        <v>396</v>
      </c>
      <c r="K13" s="1">
        <f t="shared" si="3"/>
        <v>348</v>
      </c>
      <c r="L13" s="5">
        <v>0.46153846199999998</v>
      </c>
      <c r="M13" s="5">
        <v>0.52272727272727271</v>
      </c>
    </row>
    <row r="14" spans="1:13">
      <c r="A14" s="1" t="s">
        <v>3046</v>
      </c>
      <c r="B14" s="1" t="s">
        <v>4</v>
      </c>
      <c r="C14" s="1" t="s">
        <v>67</v>
      </c>
      <c r="D14" s="1" t="s">
        <v>46</v>
      </c>
      <c r="E14" s="1" t="s">
        <v>48</v>
      </c>
      <c r="F14" s="1">
        <f t="shared" si="0"/>
        <v>26</v>
      </c>
      <c r="G14" s="1">
        <f t="shared" si="1"/>
        <v>20</v>
      </c>
      <c r="H14" s="1">
        <v>642</v>
      </c>
      <c r="I14" s="1">
        <v>1021</v>
      </c>
      <c r="J14" s="1">
        <f t="shared" si="2"/>
        <v>400</v>
      </c>
      <c r="K14" s="1">
        <f t="shared" si="3"/>
        <v>354</v>
      </c>
      <c r="L14" s="5">
        <v>0.46153846199999998</v>
      </c>
      <c r="M14" s="5">
        <v>0.52500000000000002</v>
      </c>
    </row>
    <row r="15" spans="1:13" ht="18">
      <c r="A15" s="6" t="s">
        <v>3047</v>
      </c>
      <c r="B15" s="6" t="s">
        <v>4</v>
      </c>
      <c r="C15" s="6" t="s">
        <v>67</v>
      </c>
      <c r="D15" s="6" t="s">
        <v>49</v>
      </c>
      <c r="E15" s="6" t="s">
        <v>47</v>
      </c>
      <c r="F15" s="6">
        <f t="shared" si="0"/>
        <v>20</v>
      </c>
      <c r="G15" s="6">
        <f t="shared" si="1"/>
        <v>22</v>
      </c>
      <c r="H15" s="6">
        <v>671</v>
      </c>
      <c r="I15" s="6">
        <v>1015</v>
      </c>
      <c r="J15" s="6">
        <f t="shared" si="2"/>
        <v>367</v>
      </c>
      <c r="K15" s="6">
        <f t="shared" si="3"/>
        <v>325</v>
      </c>
      <c r="L15" s="7">
        <v>0.42499999999999999</v>
      </c>
      <c r="M15" s="7">
        <v>0.52272727272727271</v>
      </c>
    </row>
    <row r="16" spans="1:13">
      <c r="A16" s="1" t="s">
        <v>3048</v>
      </c>
      <c r="B16" s="1" t="s">
        <v>4</v>
      </c>
      <c r="C16" s="1" t="s">
        <v>67</v>
      </c>
      <c r="D16" s="1" t="s">
        <v>49</v>
      </c>
      <c r="E16" s="1" t="s">
        <v>48</v>
      </c>
      <c r="F16" s="1">
        <f t="shared" si="0"/>
        <v>20</v>
      </c>
      <c r="G16" s="1">
        <f t="shared" si="1"/>
        <v>20</v>
      </c>
      <c r="H16" s="1">
        <v>671</v>
      </c>
      <c r="I16" s="1">
        <v>1021</v>
      </c>
      <c r="J16" s="1">
        <f t="shared" si="2"/>
        <v>371</v>
      </c>
      <c r="K16" s="1">
        <f t="shared" si="3"/>
        <v>331</v>
      </c>
      <c r="L16" s="5">
        <v>0.42499999999999999</v>
      </c>
      <c r="M16" s="5">
        <v>0.52500000000000002</v>
      </c>
    </row>
    <row r="17" spans="1:13">
      <c r="A17" s="1" t="s">
        <v>3049</v>
      </c>
      <c r="B17" s="1" t="s">
        <v>11</v>
      </c>
      <c r="C17" s="1" t="s">
        <v>67</v>
      </c>
      <c r="D17" s="1" t="s">
        <v>22</v>
      </c>
      <c r="E17" s="1" t="s">
        <v>23</v>
      </c>
      <c r="F17" s="1">
        <f t="shared" si="0"/>
        <v>22</v>
      </c>
      <c r="G17" s="1">
        <f t="shared" si="1"/>
        <v>26</v>
      </c>
      <c r="H17" s="1">
        <v>1458</v>
      </c>
      <c r="I17" s="1">
        <v>1638</v>
      </c>
      <c r="J17" s="1">
        <f t="shared" si="2"/>
        <v>207</v>
      </c>
      <c r="K17" s="1">
        <f t="shared" si="3"/>
        <v>159</v>
      </c>
      <c r="L17" s="5">
        <v>0.5</v>
      </c>
      <c r="M17" s="5">
        <v>0.38461538461538464</v>
      </c>
    </row>
    <row r="18" spans="1:13">
      <c r="A18" s="1" t="s">
        <v>3050</v>
      </c>
      <c r="B18" s="1" t="s">
        <v>11</v>
      </c>
      <c r="C18" s="1" t="s">
        <v>67</v>
      </c>
      <c r="D18" s="1" t="s">
        <v>50</v>
      </c>
      <c r="E18" s="1" t="s">
        <v>24</v>
      </c>
      <c r="F18" s="1">
        <f t="shared" si="0"/>
        <v>19</v>
      </c>
      <c r="G18" s="1">
        <f t="shared" si="1"/>
        <v>19</v>
      </c>
      <c r="H18" s="1">
        <v>1465</v>
      </c>
      <c r="I18" s="1">
        <v>1646</v>
      </c>
      <c r="J18" s="1">
        <f t="shared" si="2"/>
        <v>201</v>
      </c>
      <c r="K18" s="1">
        <f t="shared" si="3"/>
        <v>163</v>
      </c>
      <c r="L18" s="5">
        <v>0.39473684210526316</v>
      </c>
      <c r="M18" s="5">
        <v>0.42105263157894735</v>
      </c>
    </row>
    <row r="19" spans="1:13" ht="18">
      <c r="A19" s="6" t="s">
        <v>3051</v>
      </c>
      <c r="B19" s="6" t="s">
        <v>11</v>
      </c>
      <c r="C19" s="6" t="s">
        <v>67</v>
      </c>
      <c r="D19" s="6" t="s">
        <v>51</v>
      </c>
      <c r="E19" s="6" t="s">
        <v>25</v>
      </c>
      <c r="F19" s="6">
        <f t="shared" si="0"/>
        <v>24</v>
      </c>
      <c r="G19" s="6">
        <f t="shared" si="1"/>
        <v>21</v>
      </c>
      <c r="H19" s="6">
        <v>2084</v>
      </c>
      <c r="I19" s="6">
        <v>2438</v>
      </c>
      <c r="J19" s="6">
        <f t="shared" si="2"/>
        <v>376</v>
      </c>
      <c r="K19" s="6">
        <f t="shared" si="3"/>
        <v>331</v>
      </c>
      <c r="L19" s="7">
        <v>0.47916666666666669</v>
      </c>
      <c r="M19" s="7">
        <v>0.52380952380952384</v>
      </c>
    </row>
    <row r="20" spans="1:13">
      <c r="A20" s="1" t="s">
        <v>3052</v>
      </c>
      <c r="B20" s="1" t="s">
        <v>11</v>
      </c>
      <c r="C20" s="1" t="s">
        <v>67</v>
      </c>
      <c r="D20" s="1" t="s">
        <v>26</v>
      </c>
      <c r="E20" s="1" t="s">
        <v>27</v>
      </c>
      <c r="F20" s="1">
        <f t="shared" si="0"/>
        <v>21</v>
      </c>
      <c r="G20" s="1">
        <f t="shared" si="1"/>
        <v>25</v>
      </c>
      <c r="H20" s="1">
        <v>2173</v>
      </c>
      <c r="I20" s="1">
        <v>2580</v>
      </c>
      <c r="J20" s="1">
        <f t="shared" si="2"/>
        <v>433</v>
      </c>
      <c r="K20" s="1">
        <f t="shared" si="3"/>
        <v>387</v>
      </c>
      <c r="L20" s="5">
        <v>0.52380952380952384</v>
      </c>
      <c r="M20" s="5">
        <v>0.4</v>
      </c>
    </row>
    <row r="21" spans="1:13">
      <c r="A21" s="1" t="s">
        <v>3053</v>
      </c>
      <c r="B21" s="1" t="s">
        <v>11</v>
      </c>
      <c r="C21" s="1" t="s">
        <v>67</v>
      </c>
      <c r="D21" s="1" t="s">
        <v>52</v>
      </c>
      <c r="E21" s="1" t="s">
        <v>25</v>
      </c>
      <c r="F21" s="1">
        <f t="shared" si="0"/>
        <v>21</v>
      </c>
      <c r="G21" s="1">
        <f t="shared" si="1"/>
        <v>21</v>
      </c>
      <c r="H21" s="1">
        <v>2187</v>
      </c>
      <c r="I21" s="1">
        <v>2438</v>
      </c>
      <c r="J21" s="1">
        <f t="shared" si="2"/>
        <v>273</v>
      </c>
      <c r="K21" s="1">
        <f t="shared" si="3"/>
        <v>231</v>
      </c>
      <c r="L21" s="5">
        <v>0.38095238095238093</v>
      </c>
      <c r="M21" s="5">
        <v>0.52380952380952384</v>
      </c>
    </row>
    <row r="22" spans="1:13">
      <c r="A22" s="1" t="s">
        <v>3054</v>
      </c>
      <c r="B22" s="1" t="s">
        <v>11</v>
      </c>
      <c r="C22" s="1" t="s">
        <v>67</v>
      </c>
      <c r="D22" s="1" t="s">
        <v>52</v>
      </c>
      <c r="E22" s="1" t="s">
        <v>28</v>
      </c>
      <c r="F22" s="1">
        <f t="shared" si="0"/>
        <v>21</v>
      </c>
      <c r="G22" s="1">
        <f t="shared" si="1"/>
        <v>22</v>
      </c>
      <c r="H22" s="1">
        <v>2187</v>
      </c>
      <c r="I22" s="1">
        <v>2563</v>
      </c>
      <c r="J22" s="1">
        <f t="shared" si="2"/>
        <v>399</v>
      </c>
      <c r="K22" s="1">
        <f t="shared" si="3"/>
        <v>356</v>
      </c>
      <c r="L22" s="5">
        <v>0.38095238095238093</v>
      </c>
      <c r="M22" s="5">
        <v>0.45454545454545453</v>
      </c>
    </row>
    <row r="23" spans="1:13">
      <c r="A23" s="1" t="s">
        <v>3055</v>
      </c>
      <c r="B23" s="1" t="s">
        <v>11</v>
      </c>
      <c r="C23" s="1" t="s">
        <v>67</v>
      </c>
      <c r="D23" s="1" t="s">
        <v>29</v>
      </c>
      <c r="E23" s="1" t="s">
        <v>27</v>
      </c>
      <c r="F23" s="1">
        <f t="shared" si="0"/>
        <v>22</v>
      </c>
      <c r="G23" s="1">
        <f t="shared" si="1"/>
        <v>25</v>
      </c>
      <c r="H23" s="1">
        <v>2385</v>
      </c>
      <c r="I23" s="1">
        <v>2580</v>
      </c>
      <c r="J23" s="1">
        <f t="shared" si="2"/>
        <v>221</v>
      </c>
      <c r="K23" s="1">
        <f t="shared" si="3"/>
        <v>174</v>
      </c>
      <c r="L23" s="5">
        <v>0.45454545454545453</v>
      </c>
      <c r="M23" s="5">
        <v>0.4</v>
      </c>
    </row>
    <row r="24" spans="1:13">
      <c r="A24" s="1" t="s">
        <v>30</v>
      </c>
      <c r="B24" s="1" t="s">
        <v>11</v>
      </c>
      <c r="C24" s="1" t="s">
        <v>67</v>
      </c>
      <c r="D24" s="1" t="s">
        <v>31</v>
      </c>
      <c r="E24" s="1" t="s">
        <v>27</v>
      </c>
      <c r="F24" s="1">
        <f t="shared" si="0"/>
        <v>24</v>
      </c>
      <c r="G24" s="1">
        <f t="shared" si="1"/>
        <v>25</v>
      </c>
      <c r="H24" s="1">
        <v>2430</v>
      </c>
      <c r="I24" s="1">
        <v>2580</v>
      </c>
      <c r="J24" s="1">
        <f t="shared" si="2"/>
        <v>176</v>
      </c>
      <c r="K24" s="1">
        <f t="shared" si="3"/>
        <v>127</v>
      </c>
      <c r="L24" s="5">
        <v>0.45833333333333331</v>
      </c>
      <c r="M24" s="5">
        <v>0.4</v>
      </c>
    </row>
    <row r="25" spans="1:13">
      <c r="A25" s="1" t="s">
        <v>3056</v>
      </c>
      <c r="B25" s="1" t="s">
        <v>11</v>
      </c>
      <c r="C25" s="1" t="s">
        <v>67</v>
      </c>
      <c r="D25" s="1" t="s">
        <v>32</v>
      </c>
      <c r="E25" s="1" t="s">
        <v>53</v>
      </c>
      <c r="F25" s="1">
        <f t="shared" si="0"/>
        <v>20</v>
      </c>
      <c r="G25" s="1">
        <f t="shared" si="1"/>
        <v>22</v>
      </c>
      <c r="H25" s="1">
        <v>2438</v>
      </c>
      <c r="I25" s="1">
        <v>2563</v>
      </c>
      <c r="J25" s="1">
        <f t="shared" si="2"/>
        <v>148</v>
      </c>
      <c r="K25" s="1">
        <f t="shared" si="3"/>
        <v>106</v>
      </c>
      <c r="L25" s="5">
        <v>0.55000000000000004</v>
      </c>
      <c r="M25" s="5">
        <v>0.45454545454545453</v>
      </c>
    </row>
    <row r="26" spans="1:13">
      <c r="A26" s="1" t="s">
        <v>3057</v>
      </c>
      <c r="B26" s="1" t="s">
        <v>11</v>
      </c>
      <c r="C26" s="1" t="s">
        <v>67</v>
      </c>
      <c r="D26" s="1" t="s">
        <v>33</v>
      </c>
      <c r="E26" s="1" t="s">
        <v>27</v>
      </c>
      <c r="F26" s="1">
        <f t="shared" si="0"/>
        <v>23</v>
      </c>
      <c r="G26" s="1">
        <f t="shared" si="1"/>
        <v>25</v>
      </c>
      <c r="H26" s="1">
        <v>2505</v>
      </c>
      <c r="I26" s="1">
        <v>2580</v>
      </c>
      <c r="J26" s="1">
        <f t="shared" si="2"/>
        <v>101</v>
      </c>
      <c r="K26" s="1">
        <f t="shared" si="3"/>
        <v>53</v>
      </c>
      <c r="L26" s="5">
        <v>0.43478260869565216</v>
      </c>
      <c r="M26" s="5">
        <v>0.4</v>
      </c>
    </row>
    <row r="27" spans="1:13" ht="18">
      <c r="A27" s="6" t="s">
        <v>3058</v>
      </c>
      <c r="B27" s="6" t="s">
        <v>34</v>
      </c>
      <c r="C27" s="6" t="s">
        <v>67</v>
      </c>
      <c r="D27" s="6" t="s">
        <v>54</v>
      </c>
      <c r="E27" s="6" t="s">
        <v>55</v>
      </c>
      <c r="F27" s="6">
        <f t="shared" si="0"/>
        <v>25</v>
      </c>
      <c r="G27" s="6">
        <f t="shared" si="1"/>
        <v>19</v>
      </c>
      <c r="H27" s="6">
        <v>9459</v>
      </c>
      <c r="I27" s="6">
        <v>9822</v>
      </c>
      <c r="J27" s="6">
        <f t="shared" si="2"/>
        <v>383</v>
      </c>
      <c r="K27" s="6">
        <f t="shared" si="3"/>
        <v>339</v>
      </c>
      <c r="L27" s="7">
        <v>0.46</v>
      </c>
      <c r="M27" s="7">
        <v>0.44736842100000002</v>
      </c>
    </row>
    <row r="28" spans="1:13">
      <c r="A28" s="8" t="s">
        <v>3059</v>
      </c>
      <c r="B28" s="8" t="s">
        <v>34</v>
      </c>
      <c r="C28" s="8" t="s">
        <v>67</v>
      </c>
      <c r="D28" s="8" t="s">
        <v>54</v>
      </c>
      <c r="E28" s="8" t="s">
        <v>56</v>
      </c>
      <c r="F28" s="8">
        <f t="shared" si="0"/>
        <v>25</v>
      </c>
      <c r="G28" s="8">
        <f t="shared" si="1"/>
        <v>18</v>
      </c>
      <c r="H28" s="8">
        <v>9459</v>
      </c>
      <c r="I28" s="8">
        <v>9834</v>
      </c>
      <c r="J28" s="8">
        <f t="shared" si="2"/>
        <v>394</v>
      </c>
      <c r="K28" s="8">
        <f t="shared" si="3"/>
        <v>351</v>
      </c>
      <c r="L28" s="9">
        <v>0.46</v>
      </c>
      <c r="M28" s="9">
        <v>0.3611111111111111</v>
      </c>
    </row>
    <row r="29" spans="1:13" ht="18">
      <c r="A29" s="1" t="s">
        <v>58</v>
      </c>
    </row>
    <row r="30" spans="1:13" ht="18">
      <c r="A30" s="1" t="s">
        <v>68</v>
      </c>
    </row>
    <row r="31" spans="1:13" ht="18">
      <c r="A31" s="1" t="s">
        <v>3060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51C9-2BC8-6B46-9837-FFC71BCA296B}">
  <dimension ref="A1:E18"/>
  <sheetViews>
    <sheetView zoomScale="150" zoomScaleNormal="150" workbookViewId="0">
      <selection activeCell="A4" sqref="A4"/>
    </sheetView>
  </sheetViews>
  <sheetFormatPr baseColWidth="10" defaultRowHeight="16"/>
  <cols>
    <col min="1" max="1" width="23.5" style="1" customWidth="1"/>
    <col min="2" max="2" width="64.33203125" style="1" customWidth="1"/>
    <col min="3" max="4" width="17" style="1" customWidth="1"/>
    <col min="5" max="5" width="31.33203125" style="4" customWidth="1"/>
    <col min="6" max="16384" width="10.83203125" style="1"/>
  </cols>
  <sheetData>
    <row r="1" spans="1:5">
      <c r="A1" s="13" t="s">
        <v>548</v>
      </c>
    </row>
    <row r="2" spans="1:5" ht="17">
      <c r="A2" s="10" t="s">
        <v>541</v>
      </c>
      <c r="B2" s="10" t="s">
        <v>542</v>
      </c>
      <c r="C2" s="10" t="s">
        <v>549</v>
      </c>
      <c r="D2" s="10" t="s">
        <v>550</v>
      </c>
      <c r="E2" s="2" t="s">
        <v>546</v>
      </c>
    </row>
    <row r="3" spans="1:5" s="19" customFormat="1" ht="136">
      <c r="A3" s="19" t="s">
        <v>543</v>
      </c>
      <c r="B3" s="20" t="s">
        <v>544</v>
      </c>
      <c r="C3" s="22">
        <v>32322</v>
      </c>
      <c r="D3" s="22">
        <v>32321</v>
      </c>
      <c r="E3" s="20" t="s">
        <v>547</v>
      </c>
    </row>
    <row r="4" spans="1:5" s="19" customFormat="1">
      <c r="A4" s="21" t="s">
        <v>545</v>
      </c>
      <c r="B4" s="20"/>
      <c r="C4" s="22"/>
      <c r="D4" s="22"/>
      <c r="E4" s="20"/>
    </row>
    <row r="5" spans="1:5" s="19" customFormat="1" ht="68" customHeight="1">
      <c r="A5" s="21" t="s">
        <v>511</v>
      </c>
      <c r="B5" s="20" t="s">
        <v>555</v>
      </c>
      <c r="C5" s="22">
        <v>64361</v>
      </c>
      <c r="D5" s="22">
        <v>464</v>
      </c>
      <c r="E5" s="20" t="s">
        <v>573</v>
      </c>
    </row>
    <row r="6" spans="1:5" s="19" customFormat="1" ht="68">
      <c r="A6" s="21" t="s">
        <v>521</v>
      </c>
      <c r="B6" s="20" t="s">
        <v>556</v>
      </c>
      <c r="C6" s="22">
        <v>4139</v>
      </c>
      <c r="D6" s="22">
        <v>500</v>
      </c>
      <c r="E6" s="20" t="s">
        <v>572</v>
      </c>
    </row>
    <row r="7" spans="1:5" s="19" customFormat="1" ht="68">
      <c r="A7" s="21" t="s">
        <v>497</v>
      </c>
      <c r="B7" s="20" t="s">
        <v>557</v>
      </c>
      <c r="C7" s="22">
        <v>1145</v>
      </c>
      <c r="D7" s="22">
        <v>477</v>
      </c>
      <c r="E7" s="20" t="s">
        <v>572</v>
      </c>
    </row>
    <row r="8" spans="1:5" s="19" customFormat="1" ht="68">
      <c r="A8" s="21" t="s">
        <v>551</v>
      </c>
      <c r="B8" s="20" t="s">
        <v>558</v>
      </c>
      <c r="C8" s="22">
        <v>829</v>
      </c>
      <c r="D8" s="22">
        <v>492</v>
      </c>
      <c r="E8" s="20" t="s">
        <v>572</v>
      </c>
    </row>
    <row r="9" spans="1:5" s="19" customFormat="1" ht="68">
      <c r="A9" s="21" t="s">
        <v>552</v>
      </c>
      <c r="B9" s="20" t="s">
        <v>559</v>
      </c>
      <c r="C9" s="22">
        <v>617</v>
      </c>
      <c r="D9" s="22">
        <v>500</v>
      </c>
      <c r="E9" s="20" t="s">
        <v>572</v>
      </c>
    </row>
    <row r="10" spans="1:5" s="19" customFormat="1" ht="68">
      <c r="A10" s="21" t="s">
        <v>553</v>
      </c>
      <c r="B10" s="20" t="s">
        <v>560</v>
      </c>
      <c r="C10" s="22">
        <v>594</v>
      </c>
      <c r="D10" s="22">
        <v>500</v>
      </c>
      <c r="E10" s="20" t="s">
        <v>572</v>
      </c>
    </row>
    <row r="11" spans="1:5" s="19" customFormat="1" ht="68">
      <c r="A11" s="21" t="s">
        <v>564</v>
      </c>
      <c r="B11" s="20" t="s">
        <v>561</v>
      </c>
      <c r="C11" s="22">
        <v>545</v>
      </c>
      <c r="D11" s="22">
        <v>496</v>
      </c>
      <c r="E11" s="20" t="s">
        <v>572</v>
      </c>
    </row>
    <row r="12" spans="1:5" s="19" customFormat="1" ht="68">
      <c r="A12" s="21" t="s">
        <v>554</v>
      </c>
      <c r="B12" s="20" t="s">
        <v>562</v>
      </c>
      <c r="C12" s="22">
        <v>503</v>
      </c>
      <c r="D12" s="22">
        <v>500</v>
      </c>
      <c r="E12" s="20" t="s">
        <v>572</v>
      </c>
    </row>
    <row r="13" spans="1:5" s="19" customFormat="1">
      <c r="B13" s="20"/>
      <c r="E13" s="20"/>
    </row>
    <row r="14" spans="1:5" s="19" customFormat="1" ht="51">
      <c r="A14" s="27" t="s">
        <v>563</v>
      </c>
      <c r="B14" s="23"/>
      <c r="C14" s="24">
        <f>SUM(C3:C12)</f>
        <v>105055</v>
      </c>
      <c r="D14" s="25">
        <f>SUM(D3:D12)</f>
        <v>36250</v>
      </c>
      <c r="E14" s="26" t="s">
        <v>565</v>
      </c>
    </row>
    <row r="15" spans="1:5" s="19" customFormat="1">
      <c r="B15" s="20"/>
      <c r="E15" s="20"/>
    </row>
    <row r="16" spans="1:5" s="19" customFormat="1">
      <c r="E16" s="20"/>
    </row>
    <row r="17" spans="5:5" s="19" customFormat="1">
      <c r="E17" s="20"/>
    </row>
    <row r="18" spans="5:5" s="19" customFormat="1">
      <c r="E18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2C5C-0840-A340-9022-51F9658D95AC}">
  <dimension ref="A1:D12"/>
  <sheetViews>
    <sheetView zoomScale="180" zoomScaleNormal="180" workbookViewId="0">
      <selection activeCell="C5" sqref="C5"/>
    </sheetView>
  </sheetViews>
  <sheetFormatPr baseColWidth="10" defaultRowHeight="16"/>
  <cols>
    <col min="1" max="1" width="23" style="1" customWidth="1"/>
    <col min="2" max="2" width="17.1640625" style="1" customWidth="1"/>
    <col min="3" max="3" width="42.1640625" style="4" customWidth="1"/>
    <col min="4" max="4" width="19" style="1" customWidth="1"/>
    <col min="5" max="16384" width="10.83203125" style="1"/>
  </cols>
  <sheetData>
    <row r="1" spans="1:4">
      <c r="A1" s="41" t="s">
        <v>574</v>
      </c>
    </row>
    <row r="2" spans="1:4" s="44" customFormat="1" ht="36">
      <c r="A2" s="42" t="s">
        <v>575</v>
      </c>
      <c r="B2" s="16" t="s">
        <v>586</v>
      </c>
      <c r="C2" s="16" t="s">
        <v>576</v>
      </c>
      <c r="D2" s="16" t="s">
        <v>594</v>
      </c>
    </row>
    <row r="3" spans="1:4" s="12" customFormat="1">
      <c r="A3" s="43" t="s">
        <v>579</v>
      </c>
      <c r="B3" s="14"/>
      <c r="C3" s="38"/>
      <c r="D3" s="14"/>
    </row>
    <row r="4" spans="1:4" ht="34">
      <c r="A4" s="44" t="s">
        <v>577</v>
      </c>
      <c r="B4" s="46">
        <v>1200</v>
      </c>
      <c r="C4" s="4" t="s">
        <v>587</v>
      </c>
      <c r="D4" s="1">
        <v>2</v>
      </c>
    </row>
    <row r="5" spans="1:4" ht="17">
      <c r="A5" s="44" t="s">
        <v>584</v>
      </c>
      <c r="B5" s="44">
        <v>500</v>
      </c>
      <c r="C5" s="4" t="s">
        <v>589</v>
      </c>
      <c r="D5" s="1">
        <v>1</v>
      </c>
    </row>
    <row r="6" spans="1:4" ht="34">
      <c r="A6" s="44" t="s">
        <v>585</v>
      </c>
      <c r="B6" s="44">
        <v>500</v>
      </c>
      <c r="C6" s="4" t="s">
        <v>588</v>
      </c>
      <c r="D6" s="1">
        <v>1</v>
      </c>
    </row>
    <row r="7" spans="1:4">
      <c r="A7" s="44"/>
      <c r="B7" s="44"/>
    </row>
    <row r="8" spans="1:4">
      <c r="A8" s="43" t="s">
        <v>580</v>
      </c>
      <c r="B8" s="43"/>
      <c r="C8" s="39"/>
      <c r="D8" s="37"/>
    </row>
    <row r="9" spans="1:4" ht="51">
      <c r="A9" s="44" t="s">
        <v>578</v>
      </c>
      <c r="B9" s="44">
        <v>1750</v>
      </c>
      <c r="C9" s="4" t="s">
        <v>590</v>
      </c>
      <c r="D9" s="1">
        <v>2</v>
      </c>
    </row>
    <row r="10" spans="1:4" ht="34">
      <c r="A10" s="44" t="s">
        <v>581</v>
      </c>
      <c r="B10" s="44">
        <v>500</v>
      </c>
      <c r="C10" s="4" t="s">
        <v>591</v>
      </c>
      <c r="D10" s="1">
        <v>1</v>
      </c>
    </row>
    <row r="11" spans="1:4" ht="17">
      <c r="A11" s="44" t="s">
        <v>582</v>
      </c>
      <c r="B11" s="44">
        <v>500</v>
      </c>
      <c r="C11" s="4" t="s">
        <v>592</v>
      </c>
      <c r="D11" s="1">
        <v>1</v>
      </c>
    </row>
    <row r="12" spans="1:4" ht="34">
      <c r="A12" s="45" t="s">
        <v>583</v>
      </c>
      <c r="B12" s="45">
        <v>400</v>
      </c>
      <c r="C12" s="40" t="s">
        <v>593</v>
      </c>
      <c r="D12" s="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99FB-F452-864B-B41C-D264D3B1F0D6}">
  <dimension ref="A1:E23"/>
  <sheetViews>
    <sheetView zoomScale="180" zoomScaleNormal="180" workbookViewId="0">
      <selection activeCell="A22" sqref="A22"/>
    </sheetView>
  </sheetViews>
  <sheetFormatPr baseColWidth="10" defaultRowHeight="16"/>
  <cols>
    <col min="1" max="1" width="22.83203125" style="1" customWidth="1"/>
    <col min="2" max="2" width="13.83203125" style="1" customWidth="1"/>
    <col min="3" max="3" width="40" style="1" customWidth="1"/>
    <col min="4" max="4" width="103.33203125" style="4" customWidth="1"/>
    <col min="5" max="5" width="31" style="1" customWidth="1"/>
    <col min="6" max="16384" width="10.83203125" style="1"/>
  </cols>
  <sheetData>
    <row r="1" spans="1:5">
      <c r="A1" s="41" t="s">
        <v>595</v>
      </c>
      <c r="B1" s="41"/>
      <c r="C1" s="41"/>
    </row>
    <row r="2" spans="1:5" s="44" customFormat="1" ht="17">
      <c r="A2" s="42" t="s">
        <v>602</v>
      </c>
      <c r="B2" s="42"/>
      <c r="C2" s="42"/>
      <c r="D2" s="16" t="s">
        <v>597</v>
      </c>
      <c r="E2" s="16" t="s">
        <v>619</v>
      </c>
    </row>
    <row r="3" spans="1:5" s="12" customFormat="1" ht="17" customHeight="1">
      <c r="A3" s="43" t="s">
        <v>598</v>
      </c>
      <c r="B3" s="43" t="s">
        <v>596</v>
      </c>
      <c r="C3" s="43" t="s">
        <v>605</v>
      </c>
      <c r="D3" s="38"/>
      <c r="E3" s="38"/>
    </row>
    <row r="4" spans="1:5" ht="17">
      <c r="A4" s="44" t="s">
        <v>603</v>
      </c>
      <c r="B4" s="47" t="s">
        <v>73</v>
      </c>
      <c r="C4" s="47" t="s">
        <v>606</v>
      </c>
      <c r="D4" s="4" t="s">
        <v>610</v>
      </c>
      <c r="E4" s="1">
        <v>446</v>
      </c>
    </row>
    <row r="5" spans="1:5" ht="17">
      <c r="A5" s="44" t="s">
        <v>603</v>
      </c>
      <c r="B5" s="47" t="s">
        <v>74</v>
      </c>
      <c r="C5" s="47" t="s">
        <v>606</v>
      </c>
      <c r="D5" s="4" t="s">
        <v>609</v>
      </c>
      <c r="E5" s="1">
        <v>446</v>
      </c>
    </row>
    <row r="6" spans="1:5" ht="17">
      <c r="A6" s="44" t="s">
        <v>603</v>
      </c>
      <c r="B6" s="47" t="s">
        <v>75</v>
      </c>
      <c r="C6" s="47" t="s">
        <v>606</v>
      </c>
      <c r="D6" s="4" t="s">
        <v>611</v>
      </c>
      <c r="E6" s="1">
        <v>503</v>
      </c>
    </row>
    <row r="7" spans="1:5" s="44" customFormat="1">
      <c r="A7" s="44" t="s">
        <v>603</v>
      </c>
      <c r="B7" s="47" t="s">
        <v>76</v>
      </c>
      <c r="C7" s="47" t="s">
        <v>606</v>
      </c>
      <c r="D7" s="44" t="s">
        <v>612</v>
      </c>
      <c r="E7" s="44">
        <v>503</v>
      </c>
    </row>
    <row r="8" spans="1:5" s="44" customFormat="1">
      <c r="A8" s="44" t="s">
        <v>603</v>
      </c>
      <c r="B8" s="47" t="s">
        <v>77</v>
      </c>
      <c r="C8" s="47" t="s">
        <v>606</v>
      </c>
      <c r="D8" s="44" t="s">
        <v>613</v>
      </c>
      <c r="E8" s="44">
        <v>512</v>
      </c>
    </row>
    <row r="9" spans="1:5" s="44" customFormat="1">
      <c r="A9" s="44" t="s">
        <v>603</v>
      </c>
      <c r="B9" s="47" t="s">
        <v>78</v>
      </c>
      <c r="C9" s="47" t="s">
        <v>606</v>
      </c>
      <c r="D9" s="44" t="s">
        <v>614</v>
      </c>
      <c r="E9" s="44">
        <v>512</v>
      </c>
    </row>
    <row r="10" spans="1:5" s="44" customFormat="1">
      <c r="A10" s="44" t="s">
        <v>603</v>
      </c>
      <c r="B10" s="47" t="s">
        <v>79</v>
      </c>
      <c r="C10" s="47" t="s">
        <v>606</v>
      </c>
      <c r="D10" s="44" t="s">
        <v>615</v>
      </c>
      <c r="E10" s="44">
        <v>519</v>
      </c>
    </row>
    <row r="11" spans="1:5" s="44" customFormat="1">
      <c r="A11" s="44" t="s">
        <v>603</v>
      </c>
      <c r="B11" s="47" t="s">
        <v>80</v>
      </c>
      <c r="C11" s="47" t="s">
        <v>606</v>
      </c>
      <c r="D11" s="44" t="s">
        <v>616</v>
      </c>
      <c r="E11" s="44">
        <v>519</v>
      </c>
    </row>
    <row r="12" spans="1:5" s="44" customFormat="1"/>
    <row r="13" spans="1:5" s="44" customFormat="1">
      <c r="A13" s="44" t="s">
        <v>604</v>
      </c>
      <c r="B13" s="47" t="s">
        <v>73</v>
      </c>
      <c r="C13" s="47" t="s">
        <v>607</v>
      </c>
      <c r="D13" s="44" t="s">
        <v>617</v>
      </c>
      <c r="E13" s="44">
        <v>462</v>
      </c>
    </row>
    <row r="14" spans="1:5" s="44" customFormat="1">
      <c r="A14" s="44" t="s">
        <v>604</v>
      </c>
      <c r="B14" s="47" t="s">
        <v>74</v>
      </c>
      <c r="C14" s="47" t="s">
        <v>607</v>
      </c>
      <c r="D14" s="44" t="s">
        <v>618</v>
      </c>
      <c r="E14" s="44">
        <v>462</v>
      </c>
    </row>
    <row r="15" spans="1:5">
      <c r="A15" s="44"/>
      <c r="B15" s="44"/>
      <c r="C15" s="44"/>
    </row>
    <row r="16" spans="1:5">
      <c r="A16" s="43" t="s">
        <v>599</v>
      </c>
      <c r="B16" s="43"/>
      <c r="C16" s="43"/>
      <c r="D16" s="39"/>
      <c r="E16" s="39"/>
    </row>
    <row r="17" spans="1:5" ht="16" customHeight="1">
      <c r="A17" s="44" t="s">
        <v>600</v>
      </c>
      <c r="B17" s="44"/>
      <c r="C17" s="44" t="s">
        <v>608</v>
      </c>
      <c r="D17" s="4" t="s">
        <v>622</v>
      </c>
    </row>
    <row r="18" spans="1:5" ht="16" customHeight="1">
      <c r="A18" s="45" t="s">
        <v>601</v>
      </c>
      <c r="B18" s="45"/>
      <c r="C18" s="45" t="s">
        <v>608</v>
      </c>
      <c r="D18" s="40" t="s">
        <v>623</v>
      </c>
      <c r="E18" s="8"/>
    </row>
    <row r="19" spans="1:5">
      <c r="A19" s="1" t="s">
        <v>620</v>
      </c>
    </row>
    <row r="20" spans="1:5">
      <c r="A20" s="1" t="s">
        <v>621</v>
      </c>
    </row>
    <row r="21" spans="1:5">
      <c r="A21" s="1" t="s">
        <v>626</v>
      </c>
    </row>
    <row r="22" spans="1:5">
      <c r="A22" s="1" t="s">
        <v>624</v>
      </c>
    </row>
    <row r="23" spans="1:5">
      <c r="A23" s="1" t="s">
        <v>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0868-BD31-8A40-8890-41C94B0220C7}">
  <dimension ref="A1:D16"/>
  <sheetViews>
    <sheetView zoomScale="180" zoomScaleNormal="180" workbookViewId="0">
      <selection activeCell="D14" sqref="D14"/>
    </sheetView>
  </sheetViews>
  <sheetFormatPr baseColWidth="10" defaultRowHeight="16"/>
  <cols>
    <col min="1" max="1" width="31" style="1" customWidth="1"/>
    <col min="2" max="4" width="29.83203125" style="1" customWidth="1"/>
    <col min="5" max="16384" width="10.83203125" style="1"/>
  </cols>
  <sheetData>
    <row r="1" spans="1:4">
      <c r="A1" s="13" t="s">
        <v>774</v>
      </c>
    </row>
    <row r="2" spans="1:4">
      <c r="A2" s="59"/>
      <c r="B2" s="59" t="s">
        <v>663</v>
      </c>
      <c r="C2" s="58" t="s">
        <v>662</v>
      </c>
      <c r="D2" s="58" t="s">
        <v>661</v>
      </c>
    </row>
    <row r="3" spans="1:4">
      <c r="A3" s="55" t="s">
        <v>660</v>
      </c>
      <c r="B3" s="54" t="s">
        <v>658</v>
      </c>
      <c r="C3" s="54" t="s">
        <v>659</v>
      </c>
      <c r="D3" s="54" t="s">
        <v>658</v>
      </c>
    </row>
    <row r="4" spans="1:4">
      <c r="A4" s="55" t="s">
        <v>657</v>
      </c>
      <c r="B4" s="54" t="s">
        <v>656</v>
      </c>
      <c r="C4" s="54" t="s">
        <v>655</v>
      </c>
      <c r="D4" s="54" t="s">
        <v>654</v>
      </c>
    </row>
    <row r="5" spans="1:4">
      <c r="A5" s="55" t="s">
        <v>653</v>
      </c>
      <c r="B5" s="56">
        <f>SUM('S7 Track1'!A4, 'S8 Track2'!A4, 'S9 Track3'!A4, 'S10 Track4'!A4)</f>
        <v>3332370</v>
      </c>
      <c r="C5" s="56">
        <f>'S11 Track5'!A4+'S12 Track6'!A4</f>
        <v>2406398</v>
      </c>
      <c r="D5" s="56">
        <f>'S13 Track7'!A4</f>
        <v>3642219</v>
      </c>
    </row>
    <row r="6" spans="1:4">
      <c r="A6" s="55" t="s">
        <v>652</v>
      </c>
      <c r="B6" s="57">
        <v>0.92079999999999995</v>
      </c>
      <c r="C6" s="57">
        <v>0.95799999999999996</v>
      </c>
      <c r="D6" s="57">
        <v>0.92530000000000001</v>
      </c>
    </row>
    <row r="7" spans="1:4">
      <c r="A7" s="55"/>
      <c r="B7" s="56"/>
      <c r="C7" s="56"/>
      <c r="D7" s="56"/>
    </row>
    <row r="8" spans="1:4">
      <c r="A8" s="55" t="s">
        <v>651</v>
      </c>
      <c r="B8" s="56">
        <f>'S7 Track1'!G44+ 'S8 Track2'!G48+ 'S9 Track3'!G49+ 'S10 Track4'!G42</f>
        <v>2572852</v>
      </c>
      <c r="C8" s="56">
        <f>'S11 Track5'!G41+'S12 Track6'!G40</f>
        <v>2212982</v>
      </c>
      <c r="D8" s="56">
        <f>'S13 Track7'!G33</f>
        <v>3343360</v>
      </c>
    </row>
    <row r="9" spans="1:4">
      <c r="A9" s="55" t="s">
        <v>650</v>
      </c>
      <c r="B9" s="57">
        <f>B8/B5</f>
        <v>0.77207873075318767</v>
      </c>
      <c r="C9" s="57">
        <f>C8/C5</f>
        <v>0.91962426830474431</v>
      </c>
      <c r="D9" s="57">
        <f>D8/D5</f>
        <v>0.9179459005622671</v>
      </c>
    </row>
    <row r="10" spans="1:4">
      <c r="A10" s="55"/>
      <c r="B10" s="56"/>
      <c r="C10" s="56"/>
      <c r="D10" s="56"/>
    </row>
    <row r="11" spans="1:4">
      <c r="A11" s="55" t="s">
        <v>649</v>
      </c>
      <c r="B11" s="54" t="s">
        <v>648</v>
      </c>
      <c r="C11" s="54" t="s">
        <v>648</v>
      </c>
      <c r="D11" s="54" t="s">
        <v>647</v>
      </c>
    </row>
    <row r="12" spans="1:4">
      <c r="A12" s="55"/>
      <c r="B12" s="54"/>
      <c r="C12" s="54"/>
      <c r="D12" s="54"/>
    </row>
    <row r="13" spans="1:4">
      <c r="A13" s="55" t="s">
        <v>646</v>
      </c>
      <c r="B13" s="54" t="s">
        <v>3028</v>
      </c>
      <c r="C13" s="54" t="s">
        <v>3</v>
      </c>
      <c r="D13" s="54" t="s">
        <v>3028</v>
      </c>
    </row>
    <row r="14" spans="1:4">
      <c r="A14" s="55"/>
      <c r="B14" s="54" t="s">
        <v>3029</v>
      </c>
      <c r="C14" s="54" t="s">
        <v>13</v>
      </c>
      <c r="D14" s="54"/>
    </row>
    <row r="15" spans="1:4">
      <c r="A15" s="55"/>
      <c r="B15" s="54" t="s">
        <v>3030</v>
      </c>
      <c r="C15" s="54"/>
      <c r="D15" s="54"/>
    </row>
    <row r="16" spans="1:4">
      <c r="A16" s="53"/>
      <c r="B16" s="52" t="s">
        <v>3031</v>
      </c>
      <c r="C16" s="52"/>
      <c r="D16" s="5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16F1-E4EA-2041-842A-045021AEAF84}">
  <dimension ref="A1:O44"/>
  <sheetViews>
    <sheetView zoomScale="150" zoomScaleNormal="150" workbookViewId="0">
      <selection activeCell="A2" sqref="A2"/>
    </sheetView>
  </sheetViews>
  <sheetFormatPr baseColWidth="10" defaultRowHeight="16"/>
  <cols>
    <col min="1" max="1" width="19.83203125" style="1" customWidth="1"/>
    <col min="2" max="16384" width="10.83203125" style="1"/>
  </cols>
  <sheetData>
    <row r="1" spans="1:15">
      <c r="A1" s="13" t="s">
        <v>3041</v>
      </c>
    </row>
    <row r="2" spans="1:15">
      <c r="A2" s="60" t="s">
        <v>700</v>
      </c>
      <c r="B2" s="61"/>
      <c r="C2" s="61"/>
      <c r="D2" s="61"/>
    </row>
    <row r="3" spans="1:15">
      <c r="A3" s="32" t="s">
        <v>699</v>
      </c>
      <c r="B3" s="32" t="s">
        <v>691</v>
      </c>
      <c r="C3" s="62"/>
      <c r="D3" s="62"/>
    </row>
    <row r="4" spans="1:15">
      <c r="A4" s="63">
        <f>1805816/2</f>
        <v>902908</v>
      </c>
      <c r="B4" s="8">
        <v>93.2</v>
      </c>
      <c r="C4" s="8"/>
      <c r="D4" s="8"/>
    </row>
    <row r="5" spans="1:15">
      <c r="A5" s="13"/>
    </row>
    <row r="6" spans="1:15">
      <c r="A6" s="13"/>
    </row>
    <row r="7" spans="1:15">
      <c r="A7" s="1" t="s">
        <v>698</v>
      </c>
    </row>
    <row r="8" spans="1:15">
      <c r="A8" s="60" t="s">
        <v>697</v>
      </c>
      <c r="B8" s="60" t="s">
        <v>696</v>
      </c>
      <c r="C8" s="60"/>
      <c r="D8" s="60" t="s">
        <v>695</v>
      </c>
      <c r="E8" s="60"/>
      <c r="F8" s="60" t="s">
        <v>694</v>
      </c>
      <c r="G8" s="60"/>
      <c r="H8" s="60"/>
      <c r="I8" s="60" t="s">
        <v>664</v>
      </c>
    </row>
    <row r="9" spans="1:15">
      <c r="A9" s="13" t="s">
        <v>693</v>
      </c>
      <c r="B9" s="13" t="s">
        <v>692</v>
      </c>
      <c r="C9" s="13" t="s">
        <v>691</v>
      </c>
      <c r="D9" s="13" t="s">
        <v>692</v>
      </c>
      <c r="E9" s="13" t="s">
        <v>691</v>
      </c>
      <c r="F9" s="13" t="s">
        <v>692</v>
      </c>
      <c r="G9" s="13" t="s">
        <v>691</v>
      </c>
      <c r="N9" s="66"/>
      <c r="O9" s="66"/>
    </row>
    <row r="10" spans="1:15">
      <c r="A10" s="1" t="s">
        <v>674</v>
      </c>
      <c r="B10" s="64">
        <v>48278</v>
      </c>
      <c r="C10" s="65">
        <v>93.94</v>
      </c>
      <c r="D10" s="64">
        <v>60723</v>
      </c>
      <c r="E10" s="65">
        <v>93.38</v>
      </c>
      <c r="F10" s="64">
        <v>24841</v>
      </c>
      <c r="G10" s="65">
        <v>93.39</v>
      </c>
      <c r="I10" s="66">
        <f t="shared" ref="I10:I25" si="0">SUM(B10,D10,F10)</f>
        <v>133842</v>
      </c>
      <c r="N10" s="66"/>
      <c r="O10" s="66"/>
    </row>
    <row r="11" spans="1:15">
      <c r="A11" s="1" t="s">
        <v>673</v>
      </c>
      <c r="B11" s="64">
        <v>49592</v>
      </c>
      <c r="C11" s="65">
        <v>93.28</v>
      </c>
      <c r="D11" s="64">
        <v>66459</v>
      </c>
      <c r="E11" s="65">
        <v>92.74</v>
      </c>
      <c r="F11" s="64">
        <v>26473</v>
      </c>
      <c r="G11" s="65">
        <v>93.08</v>
      </c>
      <c r="I11" s="66">
        <f t="shared" si="0"/>
        <v>142524</v>
      </c>
      <c r="N11" s="66"/>
      <c r="O11" s="66"/>
    </row>
    <row r="12" spans="1:15">
      <c r="A12" s="1" t="s">
        <v>672</v>
      </c>
      <c r="B12" s="64">
        <v>40745</v>
      </c>
      <c r="C12" s="65">
        <v>93.62</v>
      </c>
      <c r="D12" s="64">
        <v>53694</v>
      </c>
      <c r="E12" s="65">
        <v>92.96</v>
      </c>
      <c r="F12" s="64">
        <v>21233</v>
      </c>
      <c r="G12" s="65">
        <v>93.14</v>
      </c>
      <c r="I12" s="66">
        <f t="shared" si="0"/>
        <v>115672</v>
      </c>
      <c r="N12" s="66"/>
      <c r="O12" s="66"/>
    </row>
    <row r="13" spans="1:15">
      <c r="A13" s="1" t="s">
        <v>671</v>
      </c>
      <c r="B13" s="64">
        <v>43840</v>
      </c>
      <c r="C13" s="65">
        <v>94.29</v>
      </c>
      <c r="D13" s="64">
        <v>55019</v>
      </c>
      <c r="E13" s="65">
        <v>93.49</v>
      </c>
      <c r="F13" s="64">
        <v>23288</v>
      </c>
      <c r="G13" s="65">
        <v>93.49</v>
      </c>
      <c r="I13" s="66">
        <f t="shared" si="0"/>
        <v>122147</v>
      </c>
      <c r="N13" s="66"/>
      <c r="O13" s="66"/>
    </row>
    <row r="14" spans="1:15">
      <c r="A14" s="1" t="s">
        <v>670</v>
      </c>
      <c r="B14" s="64">
        <v>46221</v>
      </c>
      <c r="C14" s="65">
        <v>94.01</v>
      </c>
      <c r="D14" s="64">
        <v>49093</v>
      </c>
      <c r="E14" s="65">
        <v>93.24</v>
      </c>
      <c r="F14" s="64">
        <v>21381</v>
      </c>
      <c r="G14" s="65">
        <v>93.44</v>
      </c>
      <c r="I14" s="66">
        <f t="shared" si="0"/>
        <v>116695</v>
      </c>
      <c r="N14" s="66"/>
      <c r="O14" s="66"/>
    </row>
    <row r="15" spans="1:15">
      <c r="A15" s="1" t="s">
        <v>669</v>
      </c>
      <c r="B15" s="64">
        <v>47688</v>
      </c>
      <c r="C15" s="65">
        <v>93.5</v>
      </c>
      <c r="D15" s="64">
        <v>63605</v>
      </c>
      <c r="E15" s="65">
        <v>92.95</v>
      </c>
      <c r="F15" s="64">
        <v>25000</v>
      </c>
      <c r="G15" s="65">
        <v>93.28</v>
      </c>
      <c r="I15" s="66">
        <f t="shared" si="0"/>
        <v>136293</v>
      </c>
      <c r="N15" s="66"/>
      <c r="O15" s="66"/>
    </row>
    <row r="16" spans="1:15">
      <c r="A16" s="1" t="s">
        <v>668</v>
      </c>
      <c r="B16" s="64">
        <v>47071</v>
      </c>
      <c r="C16" s="65">
        <v>93.55</v>
      </c>
      <c r="D16" s="64">
        <v>62370</v>
      </c>
      <c r="E16" s="65">
        <v>92.83</v>
      </c>
      <c r="F16" s="64">
        <v>24732</v>
      </c>
      <c r="G16" s="65">
        <v>92.94</v>
      </c>
      <c r="I16" s="66">
        <f t="shared" si="0"/>
        <v>134173</v>
      </c>
      <c r="N16" s="66"/>
      <c r="O16" s="66"/>
    </row>
    <row r="17" spans="1:15">
      <c r="A17" s="1" t="s">
        <v>667</v>
      </c>
      <c r="B17" s="65">
        <v>252</v>
      </c>
      <c r="C17" s="65">
        <v>93.72</v>
      </c>
      <c r="D17" s="64">
        <v>328</v>
      </c>
      <c r="E17" s="65">
        <v>93.5</v>
      </c>
      <c r="F17" s="64">
        <v>132</v>
      </c>
      <c r="G17" s="65">
        <v>94.26</v>
      </c>
      <c r="I17" s="66">
        <f t="shared" si="0"/>
        <v>712</v>
      </c>
      <c r="O17" s="66"/>
    </row>
    <row r="18" spans="1:15">
      <c r="A18" s="1" t="s">
        <v>690</v>
      </c>
      <c r="B18" s="65">
        <v>1</v>
      </c>
      <c r="C18" s="65">
        <v>98.4</v>
      </c>
      <c r="D18" s="64">
        <v>0</v>
      </c>
      <c r="E18" s="72" t="s">
        <v>685</v>
      </c>
      <c r="F18" s="64">
        <v>0</v>
      </c>
      <c r="G18" s="72" t="s">
        <v>685</v>
      </c>
      <c r="I18" s="66">
        <f t="shared" si="0"/>
        <v>1</v>
      </c>
      <c r="O18" s="66"/>
    </row>
    <row r="19" spans="1:15">
      <c r="A19" s="1" t="s">
        <v>689</v>
      </c>
      <c r="B19" s="65">
        <v>2</v>
      </c>
      <c r="C19" s="65">
        <v>98.4</v>
      </c>
      <c r="D19" s="64">
        <v>0</v>
      </c>
      <c r="E19" s="72" t="s">
        <v>685</v>
      </c>
      <c r="F19" s="65">
        <v>1</v>
      </c>
      <c r="G19" s="65">
        <v>32</v>
      </c>
      <c r="I19" s="66">
        <f t="shared" si="0"/>
        <v>3</v>
      </c>
      <c r="O19" s="66"/>
    </row>
    <row r="20" spans="1:15">
      <c r="A20" s="1" t="s">
        <v>688</v>
      </c>
      <c r="B20" s="65">
        <v>1</v>
      </c>
      <c r="C20" s="65">
        <v>98.8</v>
      </c>
      <c r="D20" s="64">
        <v>0</v>
      </c>
      <c r="E20" s="72" t="s">
        <v>685</v>
      </c>
      <c r="F20" s="64">
        <v>0</v>
      </c>
      <c r="G20" s="72" t="s">
        <v>685</v>
      </c>
      <c r="I20" s="66">
        <f t="shared" si="0"/>
        <v>1</v>
      </c>
      <c r="O20" s="66"/>
    </row>
    <row r="21" spans="1:15">
      <c r="A21" s="1" t="s">
        <v>687</v>
      </c>
      <c r="B21" s="65">
        <v>2</v>
      </c>
      <c r="C21" s="65">
        <v>70.599999999999994</v>
      </c>
      <c r="D21" s="64">
        <v>0</v>
      </c>
      <c r="E21" s="72" t="s">
        <v>685</v>
      </c>
      <c r="F21" s="65">
        <v>2</v>
      </c>
      <c r="G21" s="65">
        <v>83.6</v>
      </c>
      <c r="I21" s="66">
        <f t="shared" si="0"/>
        <v>4</v>
      </c>
    </row>
    <row r="22" spans="1:15">
      <c r="A22" s="1" t="s">
        <v>666</v>
      </c>
      <c r="B22" s="65">
        <v>2</v>
      </c>
      <c r="C22" s="65">
        <v>96.6</v>
      </c>
      <c r="D22" s="64">
        <v>0</v>
      </c>
      <c r="E22" s="72" t="s">
        <v>685</v>
      </c>
      <c r="F22" s="64">
        <v>0</v>
      </c>
      <c r="G22" s="72" t="s">
        <v>685</v>
      </c>
      <c r="I22" s="66">
        <f t="shared" si="0"/>
        <v>2</v>
      </c>
    </row>
    <row r="23" spans="1:15">
      <c r="A23" s="1" t="s">
        <v>665</v>
      </c>
      <c r="B23" s="65">
        <v>296</v>
      </c>
      <c r="C23" s="65">
        <v>92.87</v>
      </c>
      <c r="D23" s="65">
        <v>378</v>
      </c>
      <c r="E23" s="65">
        <v>93.12</v>
      </c>
      <c r="F23" s="65">
        <v>148</v>
      </c>
      <c r="G23" s="65">
        <v>93.25</v>
      </c>
      <c r="I23" s="66">
        <f t="shared" si="0"/>
        <v>822</v>
      </c>
      <c r="O23" s="66"/>
    </row>
    <row r="24" spans="1:15">
      <c r="A24" s="1" t="s">
        <v>686</v>
      </c>
      <c r="B24" s="65">
        <v>0</v>
      </c>
      <c r="C24" s="65" t="s">
        <v>685</v>
      </c>
      <c r="D24" s="65">
        <v>0</v>
      </c>
      <c r="E24" s="72" t="s">
        <v>685</v>
      </c>
      <c r="F24" s="65">
        <v>7</v>
      </c>
      <c r="G24" s="65">
        <v>62.57</v>
      </c>
      <c r="I24" s="66">
        <f t="shared" si="0"/>
        <v>7</v>
      </c>
      <c r="O24" s="66"/>
    </row>
    <row r="25" spans="1:15">
      <c r="A25" s="1" t="s">
        <v>684</v>
      </c>
      <c r="B25" s="65">
        <v>4</v>
      </c>
      <c r="C25" s="65">
        <v>85.4</v>
      </c>
      <c r="D25" s="65">
        <v>5</v>
      </c>
      <c r="E25" s="65">
        <v>93.04</v>
      </c>
      <c r="F25" s="65">
        <v>1</v>
      </c>
      <c r="G25" s="65">
        <v>91.2</v>
      </c>
      <c r="I25" s="66">
        <f t="shared" si="0"/>
        <v>10</v>
      </c>
    </row>
    <row r="27" spans="1:15">
      <c r="A27" s="67" t="s">
        <v>664</v>
      </c>
      <c r="B27" s="67"/>
      <c r="C27" s="67"/>
      <c r="D27" s="67"/>
      <c r="E27" s="67"/>
      <c r="F27" s="67"/>
      <c r="G27" s="67"/>
      <c r="H27" s="67"/>
      <c r="I27" s="68">
        <f>SUM(I10:I17)</f>
        <v>902058</v>
      </c>
    </row>
    <row r="28" spans="1:15">
      <c r="I28" s="66"/>
    </row>
    <row r="29" spans="1:15">
      <c r="I29" s="66"/>
    </row>
    <row r="30" spans="1:15">
      <c r="A30" s="1" t="s">
        <v>683</v>
      </c>
      <c r="I30" s="66"/>
    </row>
    <row r="31" spans="1:15">
      <c r="A31" s="60" t="s">
        <v>682</v>
      </c>
      <c r="B31" s="61"/>
      <c r="C31" s="61"/>
      <c r="D31" s="61"/>
      <c r="E31" s="61"/>
      <c r="F31" s="61"/>
      <c r="G31" s="61"/>
      <c r="H31" s="61"/>
    </row>
    <row r="32" spans="1:15">
      <c r="B32" s="13" t="s">
        <v>681</v>
      </c>
      <c r="C32" s="13" t="s">
        <v>680</v>
      </c>
      <c r="D32" s="13" t="s">
        <v>679</v>
      </c>
      <c r="E32" s="13" t="s">
        <v>678</v>
      </c>
      <c r="F32" s="13" t="s">
        <v>677</v>
      </c>
      <c r="G32" s="13" t="s">
        <v>676</v>
      </c>
      <c r="H32" s="13" t="s">
        <v>675</v>
      </c>
    </row>
    <row r="33" spans="1:8">
      <c r="A33" s="1" t="s">
        <v>674</v>
      </c>
      <c r="B33" s="66">
        <v>133061</v>
      </c>
      <c r="C33" s="66">
        <v>124759</v>
      </c>
      <c r="D33" s="66">
        <v>124563</v>
      </c>
      <c r="E33" s="66">
        <v>122664</v>
      </c>
      <c r="F33" s="66">
        <v>122664</v>
      </c>
      <c r="G33" s="66">
        <v>63137</v>
      </c>
      <c r="H33" s="69">
        <f t="shared" ref="H33:H42" si="1">G33/B33</f>
        <v>0.47449665942687941</v>
      </c>
    </row>
    <row r="34" spans="1:8">
      <c r="A34" s="1" t="s">
        <v>673</v>
      </c>
      <c r="B34" s="66">
        <v>141698</v>
      </c>
      <c r="C34" s="66">
        <v>131863</v>
      </c>
      <c r="D34" s="66">
        <v>131746</v>
      </c>
      <c r="E34" s="66">
        <v>130839</v>
      </c>
      <c r="F34" s="66">
        <v>130839</v>
      </c>
      <c r="G34" s="66">
        <v>122321</v>
      </c>
      <c r="H34" s="69">
        <f t="shared" si="1"/>
        <v>0.86325142203841976</v>
      </c>
    </row>
    <row r="35" spans="1:8">
      <c r="A35" s="1" t="s">
        <v>672</v>
      </c>
      <c r="B35" s="66">
        <v>114872</v>
      </c>
      <c r="C35" s="66">
        <v>107192</v>
      </c>
      <c r="D35" s="66">
        <v>107113</v>
      </c>
      <c r="E35" s="66">
        <v>106255</v>
      </c>
      <c r="F35" s="66">
        <v>106255</v>
      </c>
      <c r="G35" s="66">
        <v>63521</v>
      </c>
      <c r="H35" s="69">
        <f t="shared" si="1"/>
        <v>0.55297200362142207</v>
      </c>
    </row>
    <row r="36" spans="1:8">
      <c r="A36" s="1" t="s">
        <v>671</v>
      </c>
      <c r="B36" s="66">
        <v>121444</v>
      </c>
      <c r="C36" s="66">
        <v>114090</v>
      </c>
      <c r="D36" s="66">
        <v>113989</v>
      </c>
      <c r="E36" s="66">
        <v>112749</v>
      </c>
      <c r="F36" s="66">
        <v>112749</v>
      </c>
      <c r="G36" s="66">
        <v>76725</v>
      </c>
      <c r="H36" s="69">
        <f t="shared" si="1"/>
        <v>0.63177266888442407</v>
      </c>
    </row>
    <row r="37" spans="1:8">
      <c r="A37" s="1" t="s">
        <v>670</v>
      </c>
      <c r="B37" s="66">
        <v>115945</v>
      </c>
      <c r="C37" s="66">
        <v>108286</v>
      </c>
      <c r="D37" s="66">
        <v>108140</v>
      </c>
      <c r="E37" s="66">
        <v>106782</v>
      </c>
      <c r="F37" s="66">
        <v>106782</v>
      </c>
      <c r="G37" s="66">
        <v>83059</v>
      </c>
      <c r="H37" s="69">
        <f t="shared" si="1"/>
        <v>0.71636551813359783</v>
      </c>
    </row>
    <row r="38" spans="1:8">
      <c r="A38" s="1" t="s">
        <v>669</v>
      </c>
      <c r="B38" s="66">
        <v>135499</v>
      </c>
      <c r="C38" s="66">
        <v>126701</v>
      </c>
      <c r="D38" s="66">
        <v>126462</v>
      </c>
      <c r="E38" s="66">
        <v>124402</v>
      </c>
      <c r="F38" s="66">
        <v>124402</v>
      </c>
      <c r="G38" s="66">
        <v>98223</v>
      </c>
      <c r="H38" s="69">
        <f t="shared" si="1"/>
        <v>0.72489833873312715</v>
      </c>
    </row>
    <row r="39" spans="1:8">
      <c r="A39" s="1" t="s">
        <v>668</v>
      </c>
      <c r="B39" s="66">
        <v>133376</v>
      </c>
      <c r="C39" s="66">
        <v>124173</v>
      </c>
      <c r="D39" s="66">
        <v>124016</v>
      </c>
      <c r="E39" s="66">
        <v>123021</v>
      </c>
      <c r="F39" s="66">
        <v>123021</v>
      </c>
      <c r="G39" s="66">
        <v>120475</v>
      </c>
      <c r="H39" s="69">
        <f t="shared" si="1"/>
        <v>0.90327345249520152</v>
      </c>
    </row>
    <row r="40" spans="1:8">
      <c r="A40" s="1" t="s">
        <v>667</v>
      </c>
      <c r="B40" s="66">
        <v>708</v>
      </c>
      <c r="C40" s="66">
        <v>670</v>
      </c>
      <c r="D40" s="66">
        <v>670</v>
      </c>
      <c r="E40" s="66">
        <v>666</v>
      </c>
      <c r="F40" s="66">
        <v>666</v>
      </c>
      <c r="G40" s="66">
        <v>617</v>
      </c>
      <c r="H40" s="69">
        <f t="shared" si="1"/>
        <v>0.87146892655367236</v>
      </c>
    </row>
    <row r="41" spans="1:8">
      <c r="A41" s="1" t="s">
        <v>666</v>
      </c>
      <c r="B41" s="66">
        <v>2</v>
      </c>
      <c r="C41" s="66">
        <v>2</v>
      </c>
      <c r="D41" s="66">
        <v>2</v>
      </c>
      <c r="E41" s="66">
        <v>2</v>
      </c>
      <c r="F41" s="66">
        <v>2</v>
      </c>
      <c r="G41" s="66">
        <v>2</v>
      </c>
      <c r="H41" s="69">
        <f t="shared" si="1"/>
        <v>1</v>
      </c>
    </row>
    <row r="42" spans="1:8">
      <c r="A42" s="1" t="s">
        <v>665</v>
      </c>
      <c r="B42" s="66">
        <v>814</v>
      </c>
      <c r="C42" s="66">
        <v>756</v>
      </c>
      <c r="D42" s="66">
        <v>756</v>
      </c>
      <c r="E42" s="66">
        <v>756</v>
      </c>
      <c r="F42" s="66">
        <v>756</v>
      </c>
      <c r="G42" s="66">
        <v>756</v>
      </c>
      <c r="H42" s="69">
        <f t="shared" si="1"/>
        <v>0.92874692874692877</v>
      </c>
    </row>
    <row r="43" spans="1:8">
      <c r="B43" s="66"/>
      <c r="C43" s="66"/>
      <c r="D43" s="66"/>
      <c r="E43" s="66"/>
      <c r="F43" s="66"/>
      <c r="G43" s="66"/>
      <c r="H43" s="69"/>
    </row>
    <row r="44" spans="1:8">
      <c r="A44" s="67" t="s">
        <v>664</v>
      </c>
      <c r="B44" s="68">
        <f t="shared" ref="B44:G44" si="2">SUM(B33:B42)</f>
        <v>897419</v>
      </c>
      <c r="C44" s="68">
        <f t="shared" si="2"/>
        <v>838492</v>
      </c>
      <c r="D44" s="68">
        <f t="shared" si="2"/>
        <v>837457</v>
      </c>
      <c r="E44" s="68">
        <f t="shared" si="2"/>
        <v>828136</v>
      </c>
      <c r="F44" s="68">
        <f t="shared" si="2"/>
        <v>828136</v>
      </c>
      <c r="G44" s="68">
        <f t="shared" si="2"/>
        <v>628836</v>
      </c>
      <c r="H44" s="70">
        <f>G44/B44</f>
        <v>0.70071616491293365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06E6-1DDD-544D-A923-9954D94C17BB}">
  <dimension ref="A1:O48"/>
  <sheetViews>
    <sheetView zoomScale="150" zoomScaleNormal="150" workbookViewId="0">
      <selection activeCell="A2" sqref="A2"/>
    </sheetView>
  </sheetViews>
  <sheetFormatPr baseColWidth="10" defaultRowHeight="16"/>
  <cols>
    <col min="1" max="1" width="19.83203125" style="1" customWidth="1"/>
    <col min="2" max="16384" width="10.83203125" style="1"/>
  </cols>
  <sheetData>
    <row r="1" spans="1:15">
      <c r="A1" s="13" t="s">
        <v>3040</v>
      </c>
    </row>
    <row r="2" spans="1:15">
      <c r="A2" s="60" t="s">
        <v>700</v>
      </c>
      <c r="B2" s="61"/>
      <c r="C2" s="61"/>
      <c r="D2" s="61"/>
    </row>
    <row r="3" spans="1:15">
      <c r="A3" s="32" t="s">
        <v>699</v>
      </c>
      <c r="B3" s="32" t="s">
        <v>691</v>
      </c>
      <c r="C3" s="62"/>
      <c r="D3" s="62"/>
    </row>
    <row r="4" spans="1:15">
      <c r="A4" s="63">
        <f>1562010/2</f>
        <v>781005</v>
      </c>
      <c r="B4" s="8">
        <v>92.39</v>
      </c>
      <c r="C4" s="8"/>
      <c r="D4" s="8"/>
    </row>
    <row r="5" spans="1:15">
      <c r="A5" s="13"/>
    </row>
    <row r="6" spans="1:15">
      <c r="A6" s="13"/>
    </row>
    <row r="7" spans="1:15">
      <c r="A7" s="1" t="s">
        <v>698</v>
      </c>
    </row>
    <row r="8" spans="1:15">
      <c r="A8" s="60" t="s">
        <v>697</v>
      </c>
      <c r="B8" s="60" t="s">
        <v>696</v>
      </c>
      <c r="C8" s="60"/>
      <c r="D8" s="60" t="s">
        <v>695</v>
      </c>
      <c r="E8" s="60"/>
      <c r="F8" s="60" t="s">
        <v>694</v>
      </c>
      <c r="G8" s="60"/>
      <c r="H8" s="60"/>
      <c r="I8" s="60" t="s">
        <v>664</v>
      </c>
    </row>
    <row r="9" spans="1:15">
      <c r="A9" s="13" t="s">
        <v>693</v>
      </c>
      <c r="B9" s="13" t="s">
        <v>692</v>
      </c>
      <c r="C9" s="13" t="s">
        <v>691</v>
      </c>
      <c r="D9" s="13" t="s">
        <v>692</v>
      </c>
      <c r="E9" s="13" t="s">
        <v>691</v>
      </c>
      <c r="F9" s="13" t="s">
        <v>692</v>
      </c>
      <c r="G9" s="13" t="s">
        <v>691</v>
      </c>
    </row>
    <row r="10" spans="1:15">
      <c r="A10" s="1" t="s">
        <v>714</v>
      </c>
      <c r="B10" s="71">
        <v>37230</v>
      </c>
      <c r="C10" s="65">
        <v>93.15</v>
      </c>
      <c r="D10" s="64">
        <v>47941</v>
      </c>
      <c r="E10" s="65">
        <v>92.28</v>
      </c>
      <c r="F10" s="66">
        <v>20305</v>
      </c>
      <c r="G10" s="1">
        <v>92.55</v>
      </c>
      <c r="I10" s="66">
        <f t="shared" ref="I10:I25" si="0">SUM(B10,D10,F10)</f>
        <v>105476</v>
      </c>
      <c r="N10" s="66"/>
      <c r="O10" s="66"/>
    </row>
    <row r="11" spans="1:15">
      <c r="A11" s="1" t="s">
        <v>713</v>
      </c>
      <c r="B11" s="71">
        <v>39862</v>
      </c>
      <c r="C11" s="65">
        <v>93.27</v>
      </c>
      <c r="D11" s="64">
        <v>54918</v>
      </c>
      <c r="E11" s="65">
        <v>92.26</v>
      </c>
      <c r="F11" s="66">
        <v>22242</v>
      </c>
      <c r="G11" s="1">
        <v>92.77</v>
      </c>
      <c r="I11" s="66">
        <f t="shared" si="0"/>
        <v>117022</v>
      </c>
      <c r="N11" s="66"/>
      <c r="O11" s="66"/>
    </row>
    <row r="12" spans="1:15">
      <c r="A12" s="1" t="s">
        <v>712</v>
      </c>
      <c r="B12" s="71">
        <v>40191</v>
      </c>
      <c r="C12" s="65">
        <v>93.25</v>
      </c>
      <c r="D12" s="64">
        <v>54100</v>
      </c>
      <c r="E12" s="65">
        <v>92.39</v>
      </c>
      <c r="F12" s="66">
        <v>22052</v>
      </c>
      <c r="G12" s="1">
        <v>92.63</v>
      </c>
      <c r="I12" s="66">
        <f t="shared" si="0"/>
        <v>116343</v>
      </c>
      <c r="N12" s="66"/>
      <c r="O12" s="66"/>
    </row>
    <row r="13" spans="1:15">
      <c r="A13" s="1" t="s">
        <v>711</v>
      </c>
      <c r="B13" s="71">
        <v>34980</v>
      </c>
      <c r="C13" s="65">
        <v>93.23</v>
      </c>
      <c r="D13" s="64">
        <v>45354</v>
      </c>
      <c r="E13" s="65">
        <v>92.22</v>
      </c>
      <c r="F13" s="66">
        <v>20280</v>
      </c>
      <c r="G13" s="1">
        <v>92.49</v>
      </c>
      <c r="I13" s="66">
        <f t="shared" si="0"/>
        <v>100614</v>
      </c>
      <c r="N13" s="66"/>
      <c r="O13" s="66"/>
    </row>
    <row r="14" spans="1:15">
      <c r="A14" s="1" t="s">
        <v>710</v>
      </c>
      <c r="B14" s="71">
        <v>36982</v>
      </c>
      <c r="C14" s="65">
        <v>93.14</v>
      </c>
      <c r="D14" s="64">
        <v>47477</v>
      </c>
      <c r="E14" s="65">
        <v>92.07</v>
      </c>
      <c r="F14" s="66">
        <v>20307</v>
      </c>
      <c r="G14" s="1">
        <v>92.48</v>
      </c>
      <c r="I14" s="66">
        <f t="shared" si="0"/>
        <v>104766</v>
      </c>
      <c r="N14" s="66"/>
      <c r="O14" s="66"/>
    </row>
    <row r="15" spans="1:15">
      <c r="A15" s="1" t="s">
        <v>709</v>
      </c>
      <c r="B15" s="71">
        <v>39683</v>
      </c>
      <c r="C15" s="65">
        <v>93.24</v>
      </c>
      <c r="D15" s="64">
        <v>52474</v>
      </c>
      <c r="E15" s="65">
        <v>92.33</v>
      </c>
      <c r="F15" s="66">
        <v>21633</v>
      </c>
      <c r="G15" s="1">
        <v>92.66</v>
      </c>
      <c r="I15" s="66">
        <f t="shared" si="0"/>
        <v>113790</v>
      </c>
      <c r="N15" s="66"/>
      <c r="O15" s="66"/>
    </row>
    <row r="16" spans="1:15">
      <c r="A16" s="1" t="s">
        <v>708</v>
      </c>
      <c r="B16" s="71">
        <v>38755</v>
      </c>
      <c r="C16" s="65">
        <v>92.98</v>
      </c>
      <c r="D16" s="64">
        <v>51387</v>
      </c>
      <c r="E16" s="65">
        <v>91.87</v>
      </c>
      <c r="F16" s="66">
        <v>21643</v>
      </c>
      <c r="G16" s="65">
        <v>92.32</v>
      </c>
      <c r="I16" s="66">
        <f t="shared" si="0"/>
        <v>111785</v>
      </c>
      <c r="N16" s="66"/>
      <c r="O16" s="66"/>
    </row>
    <row r="17" spans="1:15">
      <c r="A17" s="1" t="s">
        <v>707</v>
      </c>
      <c r="B17" s="72">
        <v>103</v>
      </c>
      <c r="C17" s="65">
        <v>95.08</v>
      </c>
      <c r="D17" s="65">
        <v>145</v>
      </c>
      <c r="E17" s="65">
        <v>90.67</v>
      </c>
      <c r="F17" s="1">
        <v>56</v>
      </c>
      <c r="G17" s="65">
        <v>91.52</v>
      </c>
      <c r="I17" s="66">
        <f t="shared" si="0"/>
        <v>304</v>
      </c>
      <c r="O17" s="66"/>
    </row>
    <row r="18" spans="1:15">
      <c r="A18" s="1" t="s">
        <v>706</v>
      </c>
      <c r="B18" s="72">
        <v>2</v>
      </c>
      <c r="C18" s="65">
        <v>96.2</v>
      </c>
      <c r="D18" s="64">
        <v>0</v>
      </c>
      <c r="E18" s="65" t="s">
        <v>685</v>
      </c>
      <c r="F18" s="65">
        <v>0</v>
      </c>
      <c r="G18" s="65" t="s">
        <v>685</v>
      </c>
      <c r="I18" s="66">
        <f t="shared" si="0"/>
        <v>2</v>
      </c>
      <c r="O18" s="66"/>
    </row>
    <row r="19" spans="1:15">
      <c r="A19" s="1" t="s">
        <v>705</v>
      </c>
      <c r="B19" s="72">
        <v>2</v>
      </c>
      <c r="C19" s="65">
        <v>95.4</v>
      </c>
      <c r="D19" s="64">
        <v>0</v>
      </c>
      <c r="E19" s="65" t="s">
        <v>685</v>
      </c>
      <c r="F19" s="66">
        <v>1</v>
      </c>
      <c r="G19" s="65">
        <v>49.6</v>
      </c>
      <c r="I19" s="66">
        <f t="shared" si="0"/>
        <v>3</v>
      </c>
      <c r="O19" s="66"/>
    </row>
    <row r="20" spans="1:15">
      <c r="A20" s="1" t="s">
        <v>704</v>
      </c>
      <c r="B20" s="72">
        <v>1</v>
      </c>
      <c r="C20" s="65">
        <v>94.8</v>
      </c>
      <c r="D20" s="64">
        <v>0</v>
      </c>
      <c r="E20" s="65" t="s">
        <v>685</v>
      </c>
      <c r="F20" s="65">
        <v>0</v>
      </c>
      <c r="G20" s="65" t="s">
        <v>685</v>
      </c>
      <c r="I20" s="66">
        <f t="shared" si="0"/>
        <v>1</v>
      </c>
    </row>
    <row r="21" spans="1:15">
      <c r="A21" s="1" t="s">
        <v>703</v>
      </c>
      <c r="B21" s="72">
        <v>4</v>
      </c>
      <c r="C21" s="65">
        <v>93.2</v>
      </c>
      <c r="D21" s="64">
        <v>0</v>
      </c>
      <c r="E21" s="65" t="s">
        <v>685</v>
      </c>
      <c r="F21" s="65">
        <v>0</v>
      </c>
      <c r="G21" s="65" t="s">
        <v>685</v>
      </c>
      <c r="I21" s="66">
        <f t="shared" si="0"/>
        <v>4</v>
      </c>
      <c r="O21" s="66"/>
    </row>
    <row r="22" spans="1:15">
      <c r="A22" s="1" t="s">
        <v>716</v>
      </c>
      <c r="B22" s="72">
        <v>0</v>
      </c>
      <c r="C22" s="65" t="s">
        <v>685</v>
      </c>
      <c r="D22" s="64">
        <v>0</v>
      </c>
      <c r="E22" s="65" t="s">
        <v>685</v>
      </c>
      <c r="F22" s="65">
        <v>0</v>
      </c>
      <c r="G22" s="65" t="s">
        <v>685</v>
      </c>
      <c r="I22" s="66">
        <f t="shared" si="0"/>
        <v>0</v>
      </c>
      <c r="N22" s="66"/>
      <c r="O22" s="66"/>
    </row>
    <row r="23" spans="1:15">
      <c r="A23" s="1" t="s">
        <v>702</v>
      </c>
      <c r="B23" s="71">
        <v>3737</v>
      </c>
      <c r="C23" s="65">
        <v>93.62</v>
      </c>
      <c r="D23" s="64">
        <v>5099</v>
      </c>
      <c r="E23" s="65">
        <v>92.61</v>
      </c>
      <c r="F23" s="66">
        <v>2058</v>
      </c>
      <c r="G23" s="65">
        <v>92.96</v>
      </c>
      <c r="I23" s="66">
        <f t="shared" si="0"/>
        <v>10894</v>
      </c>
      <c r="O23" s="66"/>
    </row>
    <row r="24" spans="1:15">
      <c r="A24" s="1" t="s">
        <v>701</v>
      </c>
      <c r="B24" s="65">
        <v>0</v>
      </c>
      <c r="C24" s="65" t="s">
        <v>685</v>
      </c>
      <c r="D24" s="65">
        <v>1</v>
      </c>
      <c r="E24" s="65">
        <v>96</v>
      </c>
      <c r="F24" s="65">
        <v>0</v>
      </c>
      <c r="G24" s="65" t="s">
        <v>685</v>
      </c>
      <c r="I24" s="66">
        <f t="shared" si="0"/>
        <v>1</v>
      </c>
      <c r="O24" s="66"/>
    </row>
    <row r="25" spans="1:15">
      <c r="A25" s="1" t="s">
        <v>715</v>
      </c>
      <c r="B25" s="65">
        <v>0</v>
      </c>
      <c r="C25" s="65" t="s">
        <v>685</v>
      </c>
      <c r="D25" s="64">
        <v>0</v>
      </c>
      <c r="E25" s="65" t="s">
        <v>685</v>
      </c>
      <c r="F25" s="65">
        <v>0</v>
      </c>
      <c r="G25" s="65" t="s">
        <v>685</v>
      </c>
      <c r="I25" s="66">
        <f t="shared" si="0"/>
        <v>0</v>
      </c>
    </row>
    <row r="27" spans="1:15">
      <c r="A27" s="67" t="s">
        <v>664</v>
      </c>
      <c r="B27" s="67"/>
      <c r="C27" s="67"/>
      <c r="D27" s="67"/>
      <c r="E27" s="67"/>
      <c r="F27" s="67"/>
      <c r="G27" s="67"/>
      <c r="H27" s="67"/>
      <c r="I27" s="68">
        <f>SUM(I10:I17)</f>
        <v>770100</v>
      </c>
    </row>
    <row r="28" spans="1:15">
      <c r="I28" s="66"/>
    </row>
    <row r="29" spans="1:15">
      <c r="I29" s="66"/>
    </row>
    <row r="30" spans="1:15">
      <c r="A30" s="1" t="s">
        <v>683</v>
      </c>
      <c r="I30" s="66"/>
    </row>
    <row r="31" spans="1:15">
      <c r="A31" s="60" t="s">
        <v>682</v>
      </c>
      <c r="B31" s="61"/>
      <c r="C31" s="61"/>
      <c r="D31" s="61"/>
      <c r="E31" s="61"/>
      <c r="F31" s="61"/>
      <c r="G31" s="61"/>
      <c r="H31" s="61"/>
    </row>
    <row r="32" spans="1:15">
      <c r="B32" s="13" t="s">
        <v>681</v>
      </c>
      <c r="C32" s="13" t="s">
        <v>680</v>
      </c>
      <c r="D32" s="13" t="s">
        <v>679</v>
      </c>
      <c r="E32" s="13" t="s">
        <v>678</v>
      </c>
      <c r="F32" s="13" t="s">
        <v>677</v>
      </c>
      <c r="G32" s="13" t="s">
        <v>676</v>
      </c>
      <c r="H32" s="13" t="s">
        <v>675</v>
      </c>
    </row>
    <row r="33" spans="1:8">
      <c r="A33" s="73" t="s">
        <v>714</v>
      </c>
      <c r="B33" s="66">
        <v>104850</v>
      </c>
      <c r="C33" s="66">
        <v>98279</v>
      </c>
      <c r="D33" s="66">
        <v>98231</v>
      </c>
      <c r="E33" s="66">
        <v>97723</v>
      </c>
      <c r="F33" s="66">
        <v>97723</v>
      </c>
      <c r="G33" s="66">
        <v>77531</v>
      </c>
      <c r="H33" s="69">
        <f t="shared" ref="H33:H46" si="1">G33/B33</f>
        <v>0.73944682880305201</v>
      </c>
    </row>
    <row r="34" spans="1:8">
      <c r="A34" s="73" t="s">
        <v>713</v>
      </c>
      <c r="B34" s="66">
        <v>116208</v>
      </c>
      <c r="C34" s="66">
        <v>108788</v>
      </c>
      <c r="D34" s="66">
        <v>108700</v>
      </c>
      <c r="E34" s="66">
        <v>108454</v>
      </c>
      <c r="F34" s="66">
        <v>108454</v>
      </c>
      <c r="G34" s="66">
        <v>106727</v>
      </c>
      <c r="H34" s="69">
        <f t="shared" si="1"/>
        <v>0.91841353435219608</v>
      </c>
    </row>
    <row r="35" spans="1:8">
      <c r="A35" s="73" t="s">
        <v>712</v>
      </c>
      <c r="B35" s="66">
        <v>115520</v>
      </c>
      <c r="C35" s="66">
        <v>108005</v>
      </c>
      <c r="D35" s="66">
        <v>107913</v>
      </c>
      <c r="E35" s="66">
        <v>107255</v>
      </c>
      <c r="F35" s="66">
        <v>107255</v>
      </c>
      <c r="G35" s="66">
        <v>88643</v>
      </c>
      <c r="H35" s="69">
        <f t="shared" si="1"/>
        <v>0.76733898891966756</v>
      </c>
    </row>
    <row r="36" spans="1:8">
      <c r="A36" s="73" t="s">
        <v>711</v>
      </c>
      <c r="B36" s="66">
        <v>99986</v>
      </c>
      <c r="C36" s="66">
        <v>93928</v>
      </c>
      <c r="D36" s="66">
        <v>93897</v>
      </c>
      <c r="E36" s="66">
        <v>93376</v>
      </c>
      <c r="F36" s="66">
        <v>93376</v>
      </c>
      <c r="G36" s="66">
        <v>77508</v>
      </c>
      <c r="H36" s="69">
        <f t="shared" si="1"/>
        <v>0.77518852639369507</v>
      </c>
    </row>
    <row r="37" spans="1:8">
      <c r="A37" s="73" t="s">
        <v>710</v>
      </c>
      <c r="B37" s="66">
        <v>103484</v>
      </c>
      <c r="C37" s="66">
        <v>96880</v>
      </c>
      <c r="D37" s="66">
        <v>96855</v>
      </c>
      <c r="E37" s="66">
        <v>96270</v>
      </c>
      <c r="F37" s="66">
        <v>96270</v>
      </c>
      <c r="G37" s="66">
        <v>82566</v>
      </c>
      <c r="H37" s="69">
        <f t="shared" si="1"/>
        <v>0.79786247149317768</v>
      </c>
    </row>
    <row r="38" spans="1:8">
      <c r="A38" s="73" t="s">
        <v>709</v>
      </c>
      <c r="B38" s="66">
        <v>113091</v>
      </c>
      <c r="C38" s="66">
        <v>106040</v>
      </c>
      <c r="D38" s="66">
        <v>105853</v>
      </c>
      <c r="E38" s="66">
        <v>104649</v>
      </c>
      <c r="F38" s="66">
        <v>104649</v>
      </c>
      <c r="G38" s="66">
        <v>80804</v>
      </c>
      <c r="H38" s="69">
        <f t="shared" si="1"/>
        <v>0.71450424879079677</v>
      </c>
    </row>
    <row r="39" spans="1:8">
      <c r="A39" s="73" t="s">
        <v>708</v>
      </c>
      <c r="B39" s="66">
        <v>111103</v>
      </c>
      <c r="C39" s="66">
        <v>103938</v>
      </c>
      <c r="D39" s="66">
        <v>103921</v>
      </c>
      <c r="E39" s="66">
        <v>103626</v>
      </c>
      <c r="F39" s="66">
        <v>103626</v>
      </c>
      <c r="G39" s="66">
        <v>100330</v>
      </c>
      <c r="H39" s="69">
        <f t="shared" si="1"/>
        <v>0.90303592162227841</v>
      </c>
    </row>
    <row r="40" spans="1:8">
      <c r="A40" s="73" t="s">
        <v>707</v>
      </c>
      <c r="B40" s="66">
        <v>302</v>
      </c>
      <c r="C40" s="66">
        <v>284</v>
      </c>
      <c r="D40" s="66">
        <v>284</v>
      </c>
      <c r="E40" s="66">
        <v>283</v>
      </c>
      <c r="F40" s="66">
        <v>283</v>
      </c>
      <c r="G40" s="66">
        <v>272</v>
      </c>
      <c r="H40" s="69">
        <f t="shared" si="1"/>
        <v>0.90066225165562919</v>
      </c>
    </row>
    <row r="41" spans="1:8">
      <c r="A41" s="73" t="s">
        <v>706</v>
      </c>
      <c r="B41" s="66">
        <v>1</v>
      </c>
      <c r="C41" s="66">
        <v>1</v>
      </c>
      <c r="D41" s="66">
        <v>1</v>
      </c>
      <c r="E41" s="66">
        <v>1</v>
      </c>
      <c r="F41" s="66">
        <v>1</v>
      </c>
      <c r="G41" s="66">
        <v>1</v>
      </c>
      <c r="H41" s="69">
        <f t="shared" si="1"/>
        <v>1</v>
      </c>
    </row>
    <row r="42" spans="1:8">
      <c r="A42" s="73" t="s">
        <v>705</v>
      </c>
      <c r="B42" s="66">
        <v>2</v>
      </c>
      <c r="C42" s="66">
        <v>2</v>
      </c>
      <c r="D42" s="66">
        <v>2</v>
      </c>
      <c r="E42" s="66">
        <v>2</v>
      </c>
      <c r="F42" s="66">
        <v>2</v>
      </c>
      <c r="G42" s="66">
        <v>2</v>
      </c>
      <c r="H42" s="69">
        <f t="shared" si="1"/>
        <v>1</v>
      </c>
    </row>
    <row r="43" spans="1:8">
      <c r="A43" s="73" t="s">
        <v>704</v>
      </c>
      <c r="B43" s="66">
        <v>1</v>
      </c>
      <c r="C43" s="66">
        <v>1</v>
      </c>
      <c r="D43" s="66">
        <v>1</v>
      </c>
      <c r="E43" s="66">
        <v>1</v>
      </c>
      <c r="F43" s="66">
        <v>1</v>
      </c>
      <c r="G43" s="66">
        <v>1</v>
      </c>
      <c r="H43" s="69">
        <f t="shared" si="1"/>
        <v>1</v>
      </c>
    </row>
    <row r="44" spans="1:8">
      <c r="A44" s="73" t="s">
        <v>703</v>
      </c>
      <c r="B44" s="66">
        <v>4</v>
      </c>
      <c r="C44" s="66">
        <v>4</v>
      </c>
      <c r="D44" s="66">
        <v>4</v>
      </c>
      <c r="E44" s="66">
        <v>4</v>
      </c>
      <c r="F44" s="66">
        <v>4</v>
      </c>
      <c r="G44" s="66">
        <v>4</v>
      </c>
      <c r="H44" s="69">
        <f t="shared" si="1"/>
        <v>1</v>
      </c>
    </row>
    <row r="45" spans="1:8">
      <c r="A45" s="73" t="s">
        <v>702</v>
      </c>
      <c r="B45" s="66">
        <v>10817</v>
      </c>
      <c r="C45" s="66">
        <v>10222</v>
      </c>
      <c r="D45" s="66">
        <v>10222</v>
      </c>
      <c r="E45" s="66">
        <v>10222</v>
      </c>
      <c r="F45" s="66">
        <v>10222</v>
      </c>
      <c r="G45" s="66">
        <v>10222</v>
      </c>
      <c r="H45" s="69">
        <f t="shared" si="1"/>
        <v>0.94499399094018677</v>
      </c>
    </row>
    <row r="46" spans="1:8">
      <c r="A46" s="73" t="s">
        <v>701</v>
      </c>
      <c r="B46" s="66">
        <v>1</v>
      </c>
      <c r="C46" s="66">
        <v>1</v>
      </c>
      <c r="D46" s="66">
        <v>1</v>
      </c>
      <c r="E46" s="66">
        <v>1</v>
      </c>
      <c r="F46" s="66">
        <v>1</v>
      </c>
      <c r="G46" s="66">
        <v>1</v>
      </c>
      <c r="H46" s="69">
        <f t="shared" si="1"/>
        <v>1</v>
      </c>
    </row>
    <row r="47" spans="1:8">
      <c r="B47" s="66"/>
      <c r="C47" s="66"/>
      <c r="D47" s="66"/>
      <c r="E47" s="66"/>
      <c r="F47" s="66"/>
      <c r="G47" s="66"/>
      <c r="H47" s="69"/>
    </row>
    <row r="48" spans="1:8">
      <c r="A48" s="67" t="s">
        <v>664</v>
      </c>
      <c r="B48" s="68">
        <f t="shared" ref="B48:G48" si="2">SUM(B33:B46)</f>
        <v>775370</v>
      </c>
      <c r="C48" s="68">
        <f t="shared" si="2"/>
        <v>726373</v>
      </c>
      <c r="D48" s="68">
        <f t="shared" si="2"/>
        <v>725885</v>
      </c>
      <c r="E48" s="68">
        <f t="shared" si="2"/>
        <v>721867</v>
      </c>
      <c r="F48" s="68">
        <f t="shared" si="2"/>
        <v>721867</v>
      </c>
      <c r="G48" s="68">
        <f t="shared" si="2"/>
        <v>624612</v>
      </c>
      <c r="H48" s="70">
        <f>G48/B48</f>
        <v>0.8055663747630164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3DFC-57C0-534D-A6F3-BCC592FB772F}">
  <dimension ref="A1:O49"/>
  <sheetViews>
    <sheetView zoomScale="150" zoomScaleNormal="150" workbookViewId="0">
      <selection activeCell="A2" sqref="A2"/>
    </sheetView>
  </sheetViews>
  <sheetFormatPr baseColWidth="10" defaultRowHeight="16"/>
  <cols>
    <col min="1" max="1" width="19.83203125" style="1" customWidth="1"/>
    <col min="2" max="16384" width="10.83203125" style="1"/>
  </cols>
  <sheetData>
    <row r="1" spans="1:15">
      <c r="A1" s="13" t="s">
        <v>3039</v>
      </c>
    </row>
    <row r="2" spans="1:15">
      <c r="A2" s="60" t="s">
        <v>700</v>
      </c>
      <c r="B2" s="61"/>
      <c r="C2" s="61"/>
      <c r="D2" s="61"/>
    </row>
    <row r="3" spans="1:15">
      <c r="A3" s="32" t="s">
        <v>699</v>
      </c>
      <c r="B3" s="32" t="s">
        <v>691</v>
      </c>
      <c r="C3" s="62"/>
      <c r="D3" s="62"/>
    </row>
    <row r="4" spans="1:15">
      <c r="A4" s="63">
        <v>782716</v>
      </c>
      <c r="B4" s="8">
        <v>91.69</v>
      </c>
      <c r="C4" s="8"/>
      <c r="D4" s="8"/>
    </row>
    <row r="5" spans="1:15">
      <c r="A5" s="13"/>
    </row>
    <row r="7" spans="1:15">
      <c r="A7" s="1" t="s">
        <v>698</v>
      </c>
    </row>
    <row r="8" spans="1:15">
      <c r="A8" s="60" t="s">
        <v>697</v>
      </c>
      <c r="B8" s="60" t="s">
        <v>696</v>
      </c>
      <c r="C8" s="60"/>
      <c r="D8" s="60" t="s">
        <v>695</v>
      </c>
      <c r="E8" s="60"/>
      <c r="F8" s="60" t="s">
        <v>694</v>
      </c>
      <c r="G8" s="60"/>
      <c r="H8" s="60"/>
      <c r="I8" s="60" t="s">
        <v>664</v>
      </c>
    </row>
    <row r="9" spans="1:15">
      <c r="A9" s="13" t="s">
        <v>693</v>
      </c>
      <c r="B9" s="13" t="s">
        <v>692</v>
      </c>
      <c r="C9" s="13" t="s">
        <v>691</v>
      </c>
      <c r="D9" s="13" t="s">
        <v>692</v>
      </c>
      <c r="E9" s="13" t="s">
        <v>691</v>
      </c>
      <c r="F9" s="13" t="s">
        <v>692</v>
      </c>
      <c r="G9" s="13" t="s">
        <v>691</v>
      </c>
    </row>
    <row r="10" spans="1:15">
      <c r="A10" s="1" t="s">
        <v>731</v>
      </c>
      <c r="B10" s="64">
        <v>26784</v>
      </c>
      <c r="C10" s="65">
        <v>92.71</v>
      </c>
      <c r="D10" s="64">
        <v>37861</v>
      </c>
      <c r="E10" s="65">
        <v>92.15</v>
      </c>
      <c r="F10" s="64">
        <v>14614</v>
      </c>
      <c r="G10" s="65">
        <v>92.32</v>
      </c>
      <c r="I10" s="66">
        <f t="shared" ref="I10:I25" si="0">SUM(B10,D10,F10)</f>
        <v>79259</v>
      </c>
      <c r="O10" s="66"/>
    </row>
    <row r="11" spans="1:15">
      <c r="A11" s="1" t="s">
        <v>730</v>
      </c>
      <c r="B11" s="64">
        <v>27172</v>
      </c>
      <c r="C11" s="65">
        <v>92.47</v>
      </c>
      <c r="D11" s="64">
        <v>38167</v>
      </c>
      <c r="E11" s="65">
        <v>91.88</v>
      </c>
      <c r="F11" s="64">
        <v>14900</v>
      </c>
      <c r="G11" s="65">
        <v>92.2</v>
      </c>
      <c r="I11" s="66">
        <f t="shared" si="0"/>
        <v>80239</v>
      </c>
      <c r="O11" s="66"/>
    </row>
    <row r="12" spans="1:15">
      <c r="A12" s="1" t="s">
        <v>729</v>
      </c>
      <c r="B12" s="64">
        <v>27731</v>
      </c>
      <c r="C12" s="65">
        <v>92.61</v>
      </c>
      <c r="D12" s="64">
        <v>38004</v>
      </c>
      <c r="E12" s="65">
        <v>91.95</v>
      </c>
      <c r="F12" s="64">
        <v>14642</v>
      </c>
      <c r="G12" s="65">
        <v>92.15</v>
      </c>
      <c r="I12" s="66">
        <f t="shared" si="0"/>
        <v>80377</v>
      </c>
      <c r="O12" s="66"/>
    </row>
    <row r="13" spans="1:15">
      <c r="A13" s="1" t="s">
        <v>728</v>
      </c>
      <c r="B13" s="64">
        <v>25360</v>
      </c>
      <c r="C13" s="65">
        <v>92.94</v>
      </c>
      <c r="D13" s="64">
        <v>36393</v>
      </c>
      <c r="E13" s="65">
        <v>92.38</v>
      </c>
      <c r="F13" s="64">
        <v>14718</v>
      </c>
      <c r="G13" s="65">
        <v>92.15</v>
      </c>
      <c r="I13" s="66">
        <f t="shared" si="0"/>
        <v>76471</v>
      </c>
      <c r="O13" s="66"/>
    </row>
    <row r="14" spans="1:15">
      <c r="A14" s="1" t="s">
        <v>727</v>
      </c>
      <c r="B14" s="64">
        <v>26951</v>
      </c>
      <c r="C14" s="65">
        <v>92.81</v>
      </c>
      <c r="D14" s="64">
        <v>37843</v>
      </c>
      <c r="E14" s="65">
        <v>92.06</v>
      </c>
      <c r="F14" s="64">
        <v>14630</v>
      </c>
      <c r="G14" s="65">
        <v>92.29</v>
      </c>
      <c r="I14" s="66">
        <f t="shared" si="0"/>
        <v>79424</v>
      </c>
      <c r="O14" s="66"/>
    </row>
    <row r="15" spans="1:15">
      <c r="A15" s="1" t="s">
        <v>726</v>
      </c>
      <c r="B15" s="64">
        <v>25753</v>
      </c>
      <c r="C15" s="65">
        <v>92.62</v>
      </c>
      <c r="D15" s="64">
        <v>35848</v>
      </c>
      <c r="E15" s="65">
        <v>91.97</v>
      </c>
      <c r="F15" s="64">
        <v>14126</v>
      </c>
      <c r="G15" s="65">
        <v>92.09</v>
      </c>
      <c r="I15" s="66">
        <f t="shared" si="0"/>
        <v>75727</v>
      </c>
      <c r="O15" s="66"/>
    </row>
    <row r="16" spans="1:15">
      <c r="A16" s="1" t="s">
        <v>725</v>
      </c>
      <c r="B16" s="64">
        <v>26696</v>
      </c>
      <c r="C16" s="65">
        <v>92.93</v>
      </c>
      <c r="D16" s="64">
        <v>37832</v>
      </c>
      <c r="E16" s="65">
        <v>92.28</v>
      </c>
      <c r="F16" s="64">
        <v>14613</v>
      </c>
      <c r="G16" s="65">
        <v>92.5</v>
      </c>
      <c r="I16" s="66">
        <f t="shared" si="0"/>
        <v>79141</v>
      </c>
      <c r="O16" s="66"/>
    </row>
    <row r="17" spans="1:15">
      <c r="A17" s="1" t="s">
        <v>724</v>
      </c>
      <c r="B17" s="65">
        <v>169</v>
      </c>
      <c r="C17" s="65">
        <v>91.74</v>
      </c>
      <c r="D17" s="65">
        <v>214</v>
      </c>
      <c r="E17" s="65">
        <v>92.68</v>
      </c>
      <c r="F17" s="65">
        <v>78</v>
      </c>
      <c r="G17" s="65">
        <v>93.27</v>
      </c>
      <c r="I17" s="66">
        <f t="shared" si="0"/>
        <v>461</v>
      </c>
      <c r="O17" s="66"/>
    </row>
    <row r="18" spans="1:15">
      <c r="A18" s="1" t="s">
        <v>723</v>
      </c>
      <c r="B18" s="65">
        <v>34</v>
      </c>
      <c r="C18" s="65">
        <v>92.39</v>
      </c>
      <c r="D18" s="65">
        <v>33</v>
      </c>
      <c r="E18" s="65">
        <v>92.41</v>
      </c>
      <c r="F18" s="65">
        <v>11</v>
      </c>
      <c r="G18" s="65">
        <v>93.49</v>
      </c>
      <c r="I18" s="66">
        <f t="shared" si="0"/>
        <v>78</v>
      </c>
      <c r="O18" s="66"/>
    </row>
    <row r="19" spans="1:15">
      <c r="A19" s="1" t="s">
        <v>722</v>
      </c>
      <c r="B19" s="64">
        <v>39600</v>
      </c>
      <c r="C19" s="65">
        <v>92.47</v>
      </c>
      <c r="D19" s="64">
        <v>55796</v>
      </c>
      <c r="E19" s="65">
        <v>91.83</v>
      </c>
      <c r="F19" s="64">
        <v>21908</v>
      </c>
      <c r="G19" s="65">
        <v>92.17</v>
      </c>
      <c r="I19" s="66">
        <f t="shared" si="0"/>
        <v>117304</v>
      </c>
      <c r="O19" s="66"/>
    </row>
    <row r="20" spans="1:15">
      <c r="A20" s="1" t="s">
        <v>721</v>
      </c>
      <c r="B20" s="65">
        <v>101</v>
      </c>
      <c r="C20" s="65">
        <v>92.71</v>
      </c>
      <c r="D20" s="65">
        <v>90</v>
      </c>
      <c r="E20" s="65">
        <v>94.59</v>
      </c>
      <c r="F20" s="65">
        <v>34</v>
      </c>
      <c r="G20" s="65">
        <v>93.22</v>
      </c>
      <c r="I20" s="66">
        <f t="shared" si="0"/>
        <v>225</v>
      </c>
      <c r="O20" s="66"/>
    </row>
    <row r="21" spans="1:15">
      <c r="A21" s="1" t="s">
        <v>720</v>
      </c>
      <c r="B21" s="65">
        <v>20</v>
      </c>
      <c r="C21" s="65">
        <v>87.46</v>
      </c>
      <c r="D21" s="65">
        <v>0</v>
      </c>
      <c r="E21" s="65" t="s">
        <v>685</v>
      </c>
      <c r="F21" s="65">
        <v>1</v>
      </c>
      <c r="G21" s="65">
        <v>81.599999999999994</v>
      </c>
      <c r="I21" s="66">
        <f t="shared" si="0"/>
        <v>21</v>
      </c>
      <c r="O21" s="66"/>
    </row>
    <row r="22" spans="1:15">
      <c r="A22" s="1" t="s">
        <v>719</v>
      </c>
      <c r="B22" s="65">
        <v>896</v>
      </c>
      <c r="C22" s="65">
        <v>94.07</v>
      </c>
      <c r="D22" s="64">
        <v>1228</v>
      </c>
      <c r="E22" s="65">
        <v>93.26</v>
      </c>
      <c r="F22" s="65">
        <v>526</v>
      </c>
      <c r="G22" s="65">
        <v>93.17</v>
      </c>
      <c r="I22" s="66">
        <f t="shared" si="0"/>
        <v>2650</v>
      </c>
      <c r="O22" s="66"/>
    </row>
    <row r="23" spans="1:15">
      <c r="A23" s="1" t="s">
        <v>718</v>
      </c>
      <c r="B23" s="64">
        <v>37722</v>
      </c>
      <c r="C23" s="65">
        <v>93.09</v>
      </c>
      <c r="D23" s="64">
        <v>52329</v>
      </c>
      <c r="E23" s="65">
        <v>92.38</v>
      </c>
      <c r="F23" s="64">
        <v>21282</v>
      </c>
      <c r="G23" s="65">
        <v>92.71</v>
      </c>
      <c r="I23" s="66">
        <f t="shared" si="0"/>
        <v>111333</v>
      </c>
      <c r="O23" s="66"/>
    </row>
    <row r="24" spans="1:15">
      <c r="A24" s="1" t="s">
        <v>717</v>
      </c>
      <c r="B24" s="65">
        <v>3</v>
      </c>
      <c r="C24" s="65">
        <v>96.67</v>
      </c>
      <c r="D24" s="65">
        <v>2</v>
      </c>
      <c r="E24" s="65">
        <v>97.4</v>
      </c>
      <c r="F24" s="65">
        <v>1</v>
      </c>
      <c r="G24" s="65">
        <v>94.4</v>
      </c>
      <c r="I24" s="66">
        <f t="shared" si="0"/>
        <v>6</v>
      </c>
      <c r="O24" s="66"/>
    </row>
    <row r="25" spans="1:15">
      <c r="A25" s="1" t="s">
        <v>732</v>
      </c>
      <c r="B25" s="65">
        <v>0</v>
      </c>
      <c r="C25" s="65" t="s">
        <v>685</v>
      </c>
      <c r="D25" s="65">
        <v>0</v>
      </c>
      <c r="E25" s="65" t="s">
        <v>685</v>
      </c>
      <c r="F25" s="65">
        <v>0</v>
      </c>
      <c r="G25" s="65" t="s">
        <v>685</v>
      </c>
      <c r="I25" s="66">
        <f t="shared" si="0"/>
        <v>0</v>
      </c>
    </row>
    <row r="27" spans="1:15">
      <c r="A27" s="67" t="s">
        <v>664</v>
      </c>
      <c r="B27" s="67"/>
      <c r="C27" s="67"/>
      <c r="D27" s="67"/>
      <c r="E27" s="67"/>
      <c r="F27" s="67"/>
      <c r="G27" s="67"/>
      <c r="H27" s="67"/>
      <c r="I27" s="68">
        <f>SUM(I10:I17)</f>
        <v>551099</v>
      </c>
    </row>
    <row r="28" spans="1:15">
      <c r="I28" s="66"/>
    </row>
    <row r="29" spans="1:15">
      <c r="I29" s="66"/>
    </row>
    <row r="30" spans="1:15">
      <c r="A30" s="1" t="s">
        <v>683</v>
      </c>
      <c r="I30" s="66"/>
    </row>
    <row r="31" spans="1:15">
      <c r="A31" s="60" t="s">
        <v>682</v>
      </c>
      <c r="B31" s="61"/>
      <c r="C31" s="61"/>
      <c r="D31" s="61"/>
      <c r="E31" s="61"/>
      <c r="F31" s="61"/>
      <c r="G31" s="61"/>
      <c r="H31" s="61"/>
    </row>
    <row r="32" spans="1:15">
      <c r="B32" s="13" t="s">
        <v>681</v>
      </c>
      <c r="C32" s="13" t="s">
        <v>680</v>
      </c>
      <c r="D32" s="13" t="s">
        <v>679</v>
      </c>
      <c r="E32" s="13" t="s">
        <v>678</v>
      </c>
      <c r="F32" s="13" t="s">
        <v>677</v>
      </c>
      <c r="G32" s="13" t="s">
        <v>676</v>
      </c>
      <c r="H32" s="13" t="s">
        <v>675</v>
      </c>
    </row>
    <row r="33" spans="1:8">
      <c r="A33" s="1" t="s">
        <v>731</v>
      </c>
      <c r="B33" s="66">
        <v>78819</v>
      </c>
      <c r="C33" s="66">
        <v>73104</v>
      </c>
      <c r="D33" s="66">
        <v>73068</v>
      </c>
      <c r="E33" s="66">
        <v>72776</v>
      </c>
      <c r="F33" s="66">
        <v>72776</v>
      </c>
      <c r="G33" s="66">
        <v>52597</v>
      </c>
      <c r="H33" s="69">
        <f t="shared" ref="H33:H47" si="1">G33/B33</f>
        <v>0.66731371877339218</v>
      </c>
    </row>
    <row r="34" spans="1:8">
      <c r="A34" s="1" t="s">
        <v>730</v>
      </c>
      <c r="B34" s="66">
        <v>79708</v>
      </c>
      <c r="C34" s="66">
        <v>73587</v>
      </c>
      <c r="D34" s="66">
        <v>73553</v>
      </c>
      <c r="E34" s="66">
        <v>73306</v>
      </c>
      <c r="F34" s="66">
        <v>73306</v>
      </c>
      <c r="G34" s="66">
        <v>69981</v>
      </c>
      <c r="H34" s="69">
        <f t="shared" si="1"/>
        <v>0.87796707984142119</v>
      </c>
    </row>
    <row r="35" spans="1:8">
      <c r="A35" s="1" t="s">
        <v>729</v>
      </c>
      <c r="B35" s="66">
        <v>79896</v>
      </c>
      <c r="C35" s="66">
        <v>73669</v>
      </c>
      <c r="D35" s="66">
        <v>73628</v>
      </c>
      <c r="E35" s="66">
        <v>73395</v>
      </c>
      <c r="F35" s="66">
        <v>73395</v>
      </c>
      <c r="G35" s="66">
        <v>56826</v>
      </c>
      <c r="H35" s="69">
        <f t="shared" si="1"/>
        <v>0.71124962451186546</v>
      </c>
    </row>
    <row r="36" spans="1:8">
      <c r="A36" s="1" t="s">
        <v>728</v>
      </c>
      <c r="B36" s="66">
        <v>76058</v>
      </c>
      <c r="C36" s="66">
        <v>70874</v>
      </c>
      <c r="D36" s="66">
        <v>70817</v>
      </c>
      <c r="E36" s="66">
        <v>70516</v>
      </c>
      <c r="F36" s="66">
        <v>70516</v>
      </c>
      <c r="G36" s="66">
        <v>60671</v>
      </c>
      <c r="H36" s="69">
        <f t="shared" si="1"/>
        <v>0.79769386520813068</v>
      </c>
    </row>
    <row r="37" spans="1:8">
      <c r="A37" s="1" t="s">
        <v>727</v>
      </c>
      <c r="B37" s="66">
        <v>78996</v>
      </c>
      <c r="C37" s="66">
        <v>73181</v>
      </c>
      <c r="D37" s="66">
        <v>73154</v>
      </c>
      <c r="E37" s="66">
        <v>72904</v>
      </c>
      <c r="F37" s="66">
        <v>72904</v>
      </c>
      <c r="G37" s="66">
        <v>62657</v>
      </c>
      <c r="H37" s="69">
        <f t="shared" si="1"/>
        <v>0.79316674261987952</v>
      </c>
    </row>
    <row r="38" spans="1:8">
      <c r="A38" s="1" t="s">
        <v>726</v>
      </c>
      <c r="B38" s="66">
        <v>75301</v>
      </c>
      <c r="C38" s="66">
        <v>69681</v>
      </c>
      <c r="D38" s="66">
        <v>69571</v>
      </c>
      <c r="E38" s="66">
        <v>68478</v>
      </c>
      <c r="F38" s="66">
        <v>68478</v>
      </c>
      <c r="G38" s="66">
        <v>42176</v>
      </c>
      <c r="H38" s="69">
        <f t="shared" si="1"/>
        <v>0.56009880346874541</v>
      </c>
    </row>
    <row r="39" spans="1:8">
      <c r="A39" s="1" t="s">
        <v>725</v>
      </c>
      <c r="B39" s="66">
        <v>78000</v>
      </c>
      <c r="C39" s="66">
        <v>72352</v>
      </c>
      <c r="D39" s="66">
        <v>72214</v>
      </c>
      <c r="E39" s="66">
        <v>71131</v>
      </c>
      <c r="F39" s="66">
        <v>71131</v>
      </c>
      <c r="G39" s="66">
        <v>68266</v>
      </c>
      <c r="H39" s="69">
        <f t="shared" si="1"/>
        <v>0.87520512820512819</v>
      </c>
    </row>
    <row r="40" spans="1:8">
      <c r="A40" s="1" t="s">
        <v>724</v>
      </c>
      <c r="B40" s="66">
        <v>454</v>
      </c>
      <c r="C40" s="66">
        <v>422</v>
      </c>
      <c r="D40" s="66">
        <v>422</v>
      </c>
      <c r="E40" s="66">
        <v>422</v>
      </c>
      <c r="F40" s="66">
        <v>422</v>
      </c>
      <c r="G40" s="66">
        <v>416</v>
      </c>
      <c r="H40" s="69">
        <f t="shared" si="1"/>
        <v>0.91629955947136565</v>
      </c>
    </row>
    <row r="41" spans="1:8">
      <c r="A41" s="1" t="s">
        <v>723</v>
      </c>
      <c r="B41" s="66">
        <v>78</v>
      </c>
      <c r="C41" s="66">
        <v>70</v>
      </c>
      <c r="D41" s="66">
        <v>70</v>
      </c>
      <c r="E41" s="66">
        <v>70</v>
      </c>
      <c r="F41" s="66">
        <v>70</v>
      </c>
      <c r="G41" s="66">
        <v>70</v>
      </c>
      <c r="H41" s="69">
        <f t="shared" si="1"/>
        <v>0.89743589743589747</v>
      </c>
    </row>
    <row r="42" spans="1:8">
      <c r="A42" s="1" t="s">
        <v>722</v>
      </c>
      <c r="B42" s="66">
        <v>116006</v>
      </c>
      <c r="C42" s="66">
        <v>106496</v>
      </c>
      <c r="D42" s="66">
        <v>106489</v>
      </c>
      <c r="E42" s="66">
        <v>106487</v>
      </c>
      <c r="F42" s="66">
        <v>106487</v>
      </c>
      <c r="G42" s="66">
        <v>106447</v>
      </c>
      <c r="H42" s="69">
        <f t="shared" si="1"/>
        <v>0.91759908970225679</v>
      </c>
    </row>
    <row r="43" spans="1:8">
      <c r="A43" s="1" t="s">
        <v>721</v>
      </c>
      <c r="B43" s="66">
        <v>221</v>
      </c>
      <c r="C43" s="66">
        <v>209</v>
      </c>
      <c r="D43" s="66">
        <v>209</v>
      </c>
      <c r="E43" s="66">
        <v>209</v>
      </c>
      <c r="F43" s="66">
        <v>209</v>
      </c>
      <c r="G43" s="66">
        <v>209</v>
      </c>
      <c r="H43" s="69">
        <f t="shared" si="1"/>
        <v>0.94570135746606332</v>
      </c>
    </row>
    <row r="44" spans="1:8">
      <c r="A44" s="1" t="s">
        <v>720</v>
      </c>
      <c r="B44" s="66">
        <v>19</v>
      </c>
      <c r="C44" s="66">
        <v>16</v>
      </c>
      <c r="D44" s="66">
        <v>16</v>
      </c>
      <c r="E44" s="66">
        <v>16</v>
      </c>
      <c r="F44" s="66">
        <v>16</v>
      </c>
      <c r="G44" s="66">
        <v>16</v>
      </c>
      <c r="H44" s="69">
        <f t="shared" si="1"/>
        <v>0.84210526315789469</v>
      </c>
    </row>
    <row r="45" spans="1:8">
      <c r="A45" s="1" t="s">
        <v>719</v>
      </c>
      <c r="B45" s="66">
        <v>2555</v>
      </c>
      <c r="C45" s="66">
        <v>2393</v>
      </c>
      <c r="D45" s="66">
        <v>2393</v>
      </c>
      <c r="E45" s="66">
        <v>2393</v>
      </c>
      <c r="F45" s="66">
        <v>2393</v>
      </c>
      <c r="G45" s="66">
        <v>2393</v>
      </c>
      <c r="H45" s="69">
        <f t="shared" si="1"/>
        <v>0.93659491193737765</v>
      </c>
    </row>
    <row r="46" spans="1:8">
      <c r="A46" s="1" t="s">
        <v>718</v>
      </c>
      <c r="B46" s="66">
        <v>109578</v>
      </c>
      <c r="C46" s="66">
        <v>101642</v>
      </c>
      <c r="D46" s="66">
        <v>101634</v>
      </c>
      <c r="E46" s="66">
        <v>101628</v>
      </c>
      <c r="F46" s="66">
        <v>101628</v>
      </c>
      <c r="G46" s="66">
        <v>101449</v>
      </c>
      <c r="H46" s="69">
        <f t="shared" si="1"/>
        <v>0.92581540090164083</v>
      </c>
    </row>
    <row r="47" spans="1:8">
      <c r="A47" s="1" t="s">
        <v>717</v>
      </c>
      <c r="B47" s="66">
        <v>5</v>
      </c>
      <c r="C47" s="66">
        <v>5</v>
      </c>
      <c r="D47" s="66">
        <v>5</v>
      </c>
      <c r="E47" s="66">
        <v>5</v>
      </c>
      <c r="F47" s="66">
        <v>5</v>
      </c>
      <c r="G47" s="66">
        <v>5</v>
      </c>
      <c r="H47" s="69">
        <f t="shared" si="1"/>
        <v>1</v>
      </c>
    </row>
    <row r="48" spans="1:8">
      <c r="B48" s="66"/>
      <c r="C48" s="66"/>
      <c r="D48" s="66"/>
      <c r="E48" s="66"/>
      <c r="F48" s="66"/>
      <c r="G48" s="66"/>
      <c r="H48" s="69"/>
    </row>
    <row r="49" spans="1:8">
      <c r="A49" s="67" t="s">
        <v>664</v>
      </c>
      <c r="B49" s="68">
        <f t="shared" ref="B49:G49" si="2">SUM(B33:B47)</f>
        <v>775694</v>
      </c>
      <c r="C49" s="68">
        <f t="shared" si="2"/>
        <v>717701</v>
      </c>
      <c r="D49" s="68">
        <f t="shared" si="2"/>
        <v>717243</v>
      </c>
      <c r="E49" s="68">
        <f t="shared" si="2"/>
        <v>713736</v>
      </c>
      <c r="F49" s="68">
        <f t="shared" si="2"/>
        <v>713736</v>
      </c>
      <c r="G49" s="68">
        <f t="shared" si="2"/>
        <v>624179</v>
      </c>
      <c r="H49" s="70">
        <f>G49/B49</f>
        <v>0.80467168754689344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5D4C-0833-7740-A0E6-C4932095F1BE}">
  <dimension ref="A1:O42"/>
  <sheetViews>
    <sheetView zoomScale="150" zoomScaleNormal="150" workbookViewId="0">
      <selection activeCell="A2" sqref="A2"/>
    </sheetView>
  </sheetViews>
  <sheetFormatPr baseColWidth="10" defaultRowHeight="16"/>
  <cols>
    <col min="1" max="1" width="19.83203125" style="1" customWidth="1"/>
    <col min="2" max="16384" width="10.83203125" style="1"/>
  </cols>
  <sheetData>
    <row r="1" spans="1:15">
      <c r="A1" s="13" t="s">
        <v>3038</v>
      </c>
    </row>
    <row r="2" spans="1:15">
      <c r="A2" s="60" t="s">
        <v>700</v>
      </c>
      <c r="B2" s="61"/>
      <c r="C2" s="61"/>
      <c r="D2" s="61"/>
    </row>
    <row r="3" spans="1:15">
      <c r="A3" s="32" t="s">
        <v>699</v>
      </c>
      <c r="B3" s="32" t="s">
        <v>691</v>
      </c>
      <c r="C3" s="62"/>
      <c r="D3" s="62"/>
    </row>
    <row r="4" spans="1:15">
      <c r="A4" s="63">
        <f>1731482/2</f>
        <v>865741</v>
      </c>
      <c r="B4" s="8">
        <v>91</v>
      </c>
      <c r="C4" s="8"/>
      <c r="D4" s="8"/>
    </row>
    <row r="5" spans="1:15">
      <c r="A5" s="13"/>
    </row>
    <row r="7" spans="1:15">
      <c r="A7" s="1" t="s">
        <v>698</v>
      </c>
    </row>
    <row r="8" spans="1:15">
      <c r="A8" s="60" t="s">
        <v>697</v>
      </c>
      <c r="B8" s="60" t="s">
        <v>696</v>
      </c>
      <c r="C8" s="60"/>
      <c r="D8" s="60" t="s">
        <v>695</v>
      </c>
      <c r="E8" s="60"/>
      <c r="F8" s="60" t="s">
        <v>694</v>
      </c>
      <c r="G8" s="60"/>
      <c r="H8" s="60"/>
      <c r="I8" s="60" t="s">
        <v>664</v>
      </c>
    </row>
    <row r="9" spans="1:15">
      <c r="A9" s="13" t="s">
        <v>693</v>
      </c>
      <c r="B9" s="13" t="s">
        <v>692</v>
      </c>
      <c r="C9" s="13" t="s">
        <v>691</v>
      </c>
      <c r="D9" s="13" t="s">
        <v>692</v>
      </c>
      <c r="E9" s="13" t="s">
        <v>691</v>
      </c>
      <c r="F9" s="13" t="s">
        <v>692</v>
      </c>
      <c r="G9" s="13" t="s">
        <v>691</v>
      </c>
    </row>
    <row r="10" spans="1:15">
      <c r="A10" s="1" t="s">
        <v>740</v>
      </c>
      <c r="B10" s="66">
        <v>42687</v>
      </c>
      <c r="C10" s="1">
        <v>90.9</v>
      </c>
      <c r="D10" s="66">
        <v>56893</v>
      </c>
      <c r="E10" s="1">
        <v>90.54</v>
      </c>
      <c r="F10" s="66">
        <v>23754</v>
      </c>
      <c r="G10" s="1">
        <v>91.33</v>
      </c>
      <c r="I10" s="66">
        <f t="shared" ref="I10:I25" si="0">SUM(B10,D10,F10)</f>
        <v>123334</v>
      </c>
      <c r="N10" s="66"/>
      <c r="O10" s="66"/>
    </row>
    <row r="11" spans="1:15">
      <c r="A11" s="1" t="s">
        <v>739</v>
      </c>
      <c r="B11" s="66">
        <v>46705</v>
      </c>
      <c r="C11" s="1">
        <v>91.12</v>
      </c>
      <c r="D11" s="66">
        <v>62550</v>
      </c>
      <c r="E11" s="1">
        <v>90.69</v>
      </c>
      <c r="F11" s="66">
        <v>25654</v>
      </c>
      <c r="G11" s="1">
        <v>91.26</v>
      </c>
      <c r="I11" s="66">
        <f t="shared" si="0"/>
        <v>134909</v>
      </c>
      <c r="N11" s="66"/>
      <c r="O11" s="66"/>
    </row>
    <row r="12" spans="1:15">
      <c r="A12" s="1" t="s">
        <v>738</v>
      </c>
      <c r="B12" s="66">
        <v>43236</v>
      </c>
      <c r="C12" s="1">
        <v>90.58</v>
      </c>
      <c r="D12" s="66">
        <v>58521</v>
      </c>
      <c r="E12" s="1">
        <v>90.35</v>
      </c>
      <c r="F12" s="66">
        <v>24200</v>
      </c>
      <c r="G12" s="1">
        <v>91.01</v>
      </c>
      <c r="I12" s="66">
        <f t="shared" si="0"/>
        <v>125957</v>
      </c>
      <c r="N12" s="66"/>
      <c r="O12" s="66"/>
    </row>
    <row r="13" spans="1:15">
      <c r="A13" s="1" t="s">
        <v>737</v>
      </c>
      <c r="B13" s="66">
        <v>38806</v>
      </c>
      <c r="C13" s="1">
        <v>91.03</v>
      </c>
      <c r="D13" s="66">
        <v>52041</v>
      </c>
      <c r="E13" s="1">
        <v>90.72</v>
      </c>
      <c r="F13" s="66">
        <v>21962</v>
      </c>
      <c r="G13" s="1">
        <v>91.18</v>
      </c>
      <c r="I13" s="66">
        <f t="shared" si="0"/>
        <v>112809</v>
      </c>
      <c r="N13" s="66"/>
      <c r="O13" s="66"/>
    </row>
    <row r="14" spans="1:15">
      <c r="A14" s="1" t="s">
        <v>736</v>
      </c>
      <c r="B14" s="66">
        <v>40569</v>
      </c>
      <c r="C14" s="1">
        <v>91.02</v>
      </c>
      <c r="D14" s="66">
        <v>53901</v>
      </c>
      <c r="E14" s="1">
        <v>90.56</v>
      </c>
      <c r="F14" s="66">
        <v>22355</v>
      </c>
      <c r="G14" s="1">
        <v>91.38</v>
      </c>
      <c r="I14" s="66">
        <f t="shared" si="0"/>
        <v>116825</v>
      </c>
      <c r="N14" s="66"/>
      <c r="O14" s="66"/>
    </row>
    <row r="15" spans="1:15">
      <c r="A15" s="1" t="s">
        <v>735</v>
      </c>
      <c r="B15" s="64">
        <v>41256</v>
      </c>
      <c r="C15" s="65">
        <v>91.15</v>
      </c>
      <c r="D15" s="64">
        <v>55526</v>
      </c>
      <c r="E15" s="65">
        <v>90.82</v>
      </c>
      <c r="F15" s="64">
        <v>23230</v>
      </c>
      <c r="G15" s="65">
        <v>91.39</v>
      </c>
      <c r="I15" s="66">
        <f t="shared" si="0"/>
        <v>120012</v>
      </c>
      <c r="N15" s="66"/>
      <c r="O15" s="66"/>
    </row>
    <row r="16" spans="1:15">
      <c r="A16" s="1" t="s">
        <v>734</v>
      </c>
      <c r="B16" s="64">
        <v>45561</v>
      </c>
      <c r="C16" s="65">
        <v>90.51</v>
      </c>
      <c r="D16" s="64">
        <v>61197</v>
      </c>
      <c r="E16" s="65">
        <v>90.01</v>
      </c>
      <c r="F16" s="64">
        <v>25046</v>
      </c>
      <c r="G16" s="65">
        <v>90.78</v>
      </c>
      <c r="I16" s="66">
        <f t="shared" si="0"/>
        <v>131804</v>
      </c>
      <c r="N16" s="66"/>
      <c r="O16" s="66"/>
    </row>
    <row r="17" spans="1:15">
      <c r="A17" s="1" t="s">
        <v>733</v>
      </c>
      <c r="B17" s="65">
        <v>30</v>
      </c>
      <c r="C17" s="65">
        <v>90.99</v>
      </c>
      <c r="D17" s="65">
        <v>32</v>
      </c>
      <c r="E17" s="65">
        <v>91.13</v>
      </c>
      <c r="F17" s="65">
        <v>14</v>
      </c>
      <c r="G17" s="65">
        <v>89.6</v>
      </c>
      <c r="I17" s="66">
        <f t="shared" si="0"/>
        <v>76</v>
      </c>
      <c r="O17" s="66"/>
    </row>
    <row r="18" spans="1:15">
      <c r="A18" s="1" t="s">
        <v>748</v>
      </c>
      <c r="B18" s="65">
        <v>0</v>
      </c>
      <c r="C18" s="65" t="s">
        <v>685</v>
      </c>
      <c r="D18" s="64">
        <v>0</v>
      </c>
      <c r="E18" s="65" t="s">
        <v>685</v>
      </c>
      <c r="F18" s="64">
        <v>0</v>
      </c>
      <c r="G18" s="65" t="s">
        <v>685</v>
      </c>
      <c r="I18" s="66">
        <f t="shared" si="0"/>
        <v>0</v>
      </c>
      <c r="O18" s="66"/>
    </row>
    <row r="19" spans="1:15">
      <c r="A19" s="1" t="s">
        <v>747</v>
      </c>
      <c r="B19" s="65">
        <v>0</v>
      </c>
      <c r="C19" s="65" t="s">
        <v>685</v>
      </c>
      <c r="D19" s="64">
        <v>0</v>
      </c>
      <c r="E19" s="65" t="s">
        <v>685</v>
      </c>
      <c r="F19" s="65">
        <v>11</v>
      </c>
      <c r="G19" s="65">
        <v>83.16</v>
      </c>
      <c r="I19" s="66">
        <f t="shared" si="0"/>
        <v>11</v>
      </c>
    </row>
    <row r="20" spans="1:15">
      <c r="A20" s="1" t="s">
        <v>746</v>
      </c>
      <c r="B20" s="65">
        <v>0</v>
      </c>
      <c r="C20" s="65" t="s">
        <v>685</v>
      </c>
      <c r="D20" s="64">
        <v>0</v>
      </c>
      <c r="E20" s="65" t="s">
        <v>685</v>
      </c>
      <c r="F20" s="64">
        <v>0</v>
      </c>
      <c r="G20" s="65" t="s">
        <v>685</v>
      </c>
      <c r="I20" s="66">
        <f t="shared" si="0"/>
        <v>0</v>
      </c>
    </row>
    <row r="21" spans="1:15">
      <c r="A21" s="1" t="s">
        <v>745</v>
      </c>
      <c r="B21" s="65">
        <v>0</v>
      </c>
      <c r="C21" s="65" t="s">
        <v>685</v>
      </c>
      <c r="D21" s="64">
        <v>0</v>
      </c>
      <c r="E21" s="65" t="s">
        <v>685</v>
      </c>
      <c r="F21" s="65">
        <v>1</v>
      </c>
      <c r="G21" s="65">
        <v>79.2</v>
      </c>
      <c r="I21" s="66">
        <f t="shared" si="0"/>
        <v>1</v>
      </c>
    </row>
    <row r="22" spans="1:15">
      <c r="A22" s="1" t="s">
        <v>744</v>
      </c>
      <c r="B22" s="65">
        <v>0</v>
      </c>
      <c r="C22" s="65" t="s">
        <v>685</v>
      </c>
      <c r="D22" s="64">
        <v>0</v>
      </c>
      <c r="E22" s="65" t="s">
        <v>685</v>
      </c>
      <c r="F22" s="64">
        <v>0</v>
      </c>
      <c r="G22" s="65" t="s">
        <v>685</v>
      </c>
      <c r="I22" s="66">
        <f t="shared" si="0"/>
        <v>0</v>
      </c>
    </row>
    <row r="23" spans="1:15">
      <c r="A23" s="1" t="s">
        <v>743</v>
      </c>
      <c r="B23" s="65">
        <v>0</v>
      </c>
      <c r="C23" s="65" t="s">
        <v>685</v>
      </c>
      <c r="D23" s="64">
        <v>0</v>
      </c>
      <c r="E23" s="65" t="s">
        <v>685</v>
      </c>
      <c r="F23" s="65">
        <v>2</v>
      </c>
      <c r="G23" s="65">
        <v>69.599999999999994</v>
      </c>
      <c r="I23" s="66">
        <f t="shared" si="0"/>
        <v>2</v>
      </c>
      <c r="O23" s="66"/>
    </row>
    <row r="24" spans="1:15">
      <c r="A24" s="1" t="s">
        <v>742</v>
      </c>
      <c r="B24" s="65">
        <v>0</v>
      </c>
      <c r="C24" s="65" t="s">
        <v>685</v>
      </c>
      <c r="D24" s="64">
        <v>0</v>
      </c>
      <c r="E24" s="65" t="s">
        <v>685</v>
      </c>
      <c r="F24" s="65">
        <v>1</v>
      </c>
      <c r="G24" s="65">
        <v>80.8</v>
      </c>
      <c r="I24" s="66">
        <f t="shared" si="0"/>
        <v>1</v>
      </c>
      <c r="O24" s="66"/>
    </row>
    <row r="25" spans="1:15">
      <c r="A25" s="1" t="s">
        <v>741</v>
      </c>
      <c r="B25" s="65">
        <v>0</v>
      </c>
      <c r="C25" s="65" t="s">
        <v>685</v>
      </c>
      <c r="D25" s="64">
        <v>0</v>
      </c>
      <c r="E25" s="65" t="s">
        <v>685</v>
      </c>
      <c r="F25" s="65">
        <v>0</v>
      </c>
      <c r="G25" s="65" t="s">
        <v>685</v>
      </c>
      <c r="I25" s="66">
        <f t="shared" si="0"/>
        <v>0</v>
      </c>
    </row>
    <row r="27" spans="1:15">
      <c r="A27" s="67" t="s">
        <v>664</v>
      </c>
      <c r="B27" s="67"/>
      <c r="C27" s="67"/>
      <c r="D27" s="67"/>
      <c r="E27" s="67"/>
      <c r="F27" s="67"/>
      <c r="G27" s="67"/>
      <c r="H27" s="67"/>
      <c r="I27" s="68">
        <f>SUM(I10:I17)</f>
        <v>865726</v>
      </c>
    </row>
    <row r="28" spans="1:15">
      <c r="I28" s="66"/>
    </row>
    <row r="29" spans="1:15">
      <c r="I29" s="66"/>
    </row>
    <row r="30" spans="1:15">
      <c r="A30" s="1" t="s">
        <v>683</v>
      </c>
      <c r="I30" s="66"/>
    </row>
    <row r="31" spans="1:15">
      <c r="A31" s="60" t="s">
        <v>682</v>
      </c>
      <c r="B31" s="61"/>
      <c r="C31" s="61"/>
      <c r="D31" s="61"/>
      <c r="E31" s="61"/>
      <c r="F31" s="61"/>
      <c r="G31" s="61"/>
      <c r="H31" s="61"/>
    </row>
    <row r="32" spans="1:15">
      <c r="B32" s="13" t="s">
        <v>681</v>
      </c>
      <c r="C32" s="13" t="s">
        <v>680</v>
      </c>
      <c r="D32" s="13" t="s">
        <v>679</v>
      </c>
      <c r="E32" s="13" t="s">
        <v>678</v>
      </c>
      <c r="F32" s="13" t="s">
        <v>677</v>
      </c>
      <c r="G32" s="13" t="s">
        <v>676</v>
      </c>
      <c r="H32" s="13" t="s">
        <v>675</v>
      </c>
    </row>
    <row r="33" spans="1:8">
      <c r="A33" s="1" t="s">
        <v>740</v>
      </c>
      <c r="B33" s="66">
        <v>122330</v>
      </c>
      <c r="C33" s="66">
        <v>112567</v>
      </c>
      <c r="D33" s="66">
        <v>112435</v>
      </c>
      <c r="E33" s="66">
        <v>112185</v>
      </c>
      <c r="F33" s="66">
        <v>112185</v>
      </c>
      <c r="G33" s="66">
        <v>88810</v>
      </c>
      <c r="H33" s="69">
        <f t="shared" ref="H33:H40" si="1">G33/B33</f>
        <v>0.72598708411673341</v>
      </c>
    </row>
    <row r="34" spans="1:8">
      <c r="A34" s="1" t="s">
        <v>739</v>
      </c>
      <c r="B34" s="66">
        <v>133719</v>
      </c>
      <c r="C34" s="66">
        <v>122539</v>
      </c>
      <c r="D34" s="66">
        <v>122393</v>
      </c>
      <c r="E34" s="66">
        <v>121724</v>
      </c>
      <c r="F34" s="66">
        <v>121724</v>
      </c>
      <c r="G34" s="66">
        <v>114942</v>
      </c>
      <c r="H34" s="69">
        <f t="shared" si="1"/>
        <v>0.85957866870078303</v>
      </c>
    </row>
    <row r="35" spans="1:8">
      <c r="A35" s="1" t="s">
        <v>738</v>
      </c>
      <c r="B35" s="66">
        <v>124696</v>
      </c>
      <c r="C35" s="66">
        <v>113879</v>
      </c>
      <c r="D35" s="66">
        <v>113769</v>
      </c>
      <c r="E35" s="66">
        <v>113550</v>
      </c>
      <c r="F35" s="66">
        <v>113550</v>
      </c>
      <c r="G35" s="66">
        <v>93461</v>
      </c>
      <c r="H35" s="69">
        <f t="shared" si="1"/>
        <v>0.74951081029062683</v>
      </c>
    </row>
    <row r="36" spans="1:8">
      <c r="A36" s="1" t="s">
        <v>737</v>
      </c>
      <c r="B36" s="66">
        <v>111760</v>
      </c>
      <c r="C36" s="66">
        <v>103190</v>
      </c>
      <c r="D36" s="66">
        <v>103082</v>
      </c>
      <c r="E36" s="66">
        <v>102779</v>
      </c>
      <c r="F36" s="66">
        <v>102779</v>
      </c>
      <c r="G36" s="66">
        <v>81194</v>
      </c>
      <c r="H36" s="69">
        <f t="shared" si="1"/>
        <v>0.72650322118826061</v>
      </c>
    </row>
    <row r="37" spans="1:8">
      <c r="A37" s="1" t="s">
        <v>736</v>
      </c>
      <c r="B37" s="66">
        <v>115662</v>
      </c>
      <c r="C37" s="66">
        <v>106285</v>
      </c>
      <c r="D37" s="66">
        <v>106215</v>
      </c>
      <c r="E37" s="66">
        <v>105833</v>
      </c>
      <c r="F37" s="66">
        <v>105833</v>
      </c>
      <c r="G37" s="66">
        <v>97547</v>
      </c>
      <c r="H37" s="69">
        <f t="shared" si="1"/>
        <v>0.84337984817831269</v>
      </c>
    </row>
    <row r="38" spans="1:8">
      <c r="A38" s="1" t="s">
        <v>735</v>
      </c>
      <c r="B38" s="66">
        <v>118873</v>
      </c>
      <c r="C38" s="66">
        <v>109137</v>
      </c>
      <c r="D38" s="66">
        <v>109009</v>
      </c>
      <c r="E38" s="66">
        <v>108144</v>
      </c>
      <c r="F38" s="66">
        <v>108144</v>
      </c>
      <c r="G38" s="66">
        <v>102147</v>
      </c>
      <c r="H38" s="69">
        <f t="shared" si="1"/>
        <v>0.85929521422021826</v>
      </c>
    </row>
    <row r="39" spans="1:8">
      <c r="A39" s="1" t="s">
        <v>734</v>
      </c>
      <c r="B39" s="66">
        <v>130689</v>
      </c>
      <c r="C39" s="66">
        <v>119664</v>
      </c>
      <c r="D39" s="66">
        <v>119597</v>
      </c>
      <c r="E39" s="66">
        <v>119001</v>
      </c>
      <c r="F39" s="66">
        <v>119001</v>
      </c>
      <c r="G39" s="66">
        <v>117057</v>
      </c>
      <c r="H39" s="69">
        <f t="shared" si="1"/>
        <v>0.89569129766085898</v>
      </c>
    </row>
    <row r="40" spans="1:8">
      <c r="A40" s="1" t="s">
        <v>733</v>
      </c>
      <c r="B40" s="66">
        <v>75</v>
      </c>
      <c r="C40" s="66">
        <v>70</v>
      </c>
      <c r="D40" s="66">
        <v>70</v>
      </c>
      <c r="E40" s="66">
        <v>69</v>
      </c>
      <c r="F40" s="66">
        <v>69</v>
      </c>
      <c r="G40" s="66">
        <v>67</v>
      </c>
      <c r="H40" s="69">
        <f t="shared" si="1"/>
        <v>0.89333333333333331</v>
      </c>
    </row>
    <row r="41" spans="1:8">
      <c r="B41" s="66"/>
      <c r="C41" s="66"/>
      <c r="D41" s="66"/>
      <c r="E41" s="66"/>
      <c r="F41" s="66"/>
      <c r="G41" s="66"/>
      <c r="H41" s="69"/>
    </row>
    <row r="42" spans="1:8">
      <c r="A42" s="67" t="s">
        <v>664</v>
      </c>
      <c r="B42" s="68">
        <f t="shared" ref="B42:G42" si="2">SUM(B33:B40)</f>
        <v>857804</v>
      </c>
      <c r="C42" s="68">
        <f t="shared" si="2"/>
        <v>787331</v>
      </c>
      <c r="D42" s="68">
        <f t="shared" si="2"/>
        <v>786570</v>
      </c>
      <c r="E42" s="68">
        <f t="shared" si="2"/>
        <v>783285</v>
      </c>
      <c r="F42" s="68">
        <f t="shared" si="2"/>
        <v>783285</v>
      </c>
      <c r="G42" s="68">
        <f t="shared" si="2"/>
        <v>695225</v>
      </c>
      <c r="H42" s="70">
        <f>G42/B42</f>
        <v>0.81047069027423513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96DC-FC99-AE4C-B5F1-FE5D16826563}">
  <dimension ref="A1:P41"/>
  <sheetViews>
    <sheetView zoomScale="150" zoomScaleNormal="150" workbookViewId="0"/>
  </sheetViews>
  <sheetFormatPr baseColWidth="10" defaultRowHeight="16"/>
  <cols>
    <col min="1" max="1" width="19.83203125" style="1" customWidth="1"/>
    <col min="2" max="10" width="10.83203125" style="1"/>
    <col min="11" max="11" width="10.83203125" style="1" customWidth="1"/>
    <col min="12" max="16384" width="10.83203125" style="1"/>
  </cols>
  <sheetData>
    <row r="1" spans="1:9">
      <c r="A1" s="13" t="s">
        <v>3021</v>
      </c>
    </row>
    <row r="2" spans="1:9">
      <c r="A2" s="60" t="s">
        <v>761</v>
      </c>
      <c r="B2" s="61"/>
      <c r="C2" s="61"/>
      <c r="D2" s="61"/>
    </row>
    <row r="3" spans="1:9">
      <c r="A3" s="32" t="s">
        <v>699</v>
      </c>
      <c r="B3" s="32" t="s">
        <v>691</v>
      </c>
      <c r="C3" s="62"/>
      <c r="D3" s="62"/>
    </row>
    <row r="4" spans="1:9">
      <c r="A4" s="63">
        <f>2157512/2</f>
        <v>1078756</v>
      </c>
      <c r="B4" s="8">
        <v>96.72</v>
      </c>
      <c r="C4" s="8"/>
      <c r="D4" s="8"/>
    </row>
    <row r="5" spans="1:9">
      <c r="A5" s="13"/>
    </row>
    <row r="7" spans="1:9">
      <c r="A7" s="1" t="s">
        <v>698</v>
      </c>
    </row>
    <row r="8" spans="1:9">
      <c r="A8" s="60" t="s">
        <v>697</v>
      </c>
      <c r="B8" s="60" t="s">
        <v>696</v>
      </c>
      <c r="C8" s="60"/>
    </row>
    <row r="9" spans="1:9">
      <c r="A9" s="13" t="s">
        <v>693</v>
      </c>
      <c r="B9" s="13" t="s">
        <v>692</v>
      </c>
      <c r="C9" s="13" t="s">
        <v>691</v>
      </c>
    </row>
    <row r="10" spans="1:9">
      <c r="A10" s="1" t="s">
        <v>759</v>
      </c>
      <c r="B10" s="66">
        <v>95085</v>
      </c>
      <c r="C10" s="1">
        <v>96.91</v>
      </c>
      <c r="G10" s="66"/>
      <c r="H10" s="66"/>
      <c r="I10" s="66"/>
    </row>
    <row r="11" spans="1:9">
      <c r="A11" s="1" t="s">
        <v>758</v>
      </c>
      <c r="B11" s="66">
        <v>92090</v>
      </c>
      <c r="C11" s="1">
        <v>97.01</v>
      </c>
      <c r="G11" s="66"/>
      <c r="H11" s="66"/>
      <c r="I11" s="66"/>
    </row>
    <row r="12" spans="1:9">
      <c r="A12" s="1" t="s">
        <v>757</v>
      </c>
      <c r="B12" s="66">
        <v>91617</v>
      </c>
      <c r="C12" s="1">
        <v>96.95</v>
      </c>
      <c r="G12" s="66"/>
      <c r="H12" s="66"/>
      <c r="I12" s="66"/>
    </row>
    <row r="13" spans="1:9">
      <c r="A13" s="1" t="s">
        <v>756</v>
      </c>
      <c r="B13" s="66">
        <v>89657</v>
      </c>
      <c r="C13" s="1">
        <v>96.95</v>
      </c>
      <c r="G13" s="66"/>
      <c r="H13" s="66"/>
      <c r="I13" s="66"/>
    </row>
    <row r="14" spans="1:9">
      <c r="A14" s="1" t="s">
        <v>755</v>
      </c>
      <c r="B14" s="66">
        <v>86643</v>
      </c>
      <c r="C14" s="1">
        <v>97.26</v>
      </c>
      <c r="G14" s="66"/>
      <c r="H14" s="66"/>
      <c r="I14" s="66"/>
    </row>
    <row r="15" spans="1:9">
      <c r="A15" s="1" t="s">
        <v>754</v>
      </c>
      <c r="B15" s="66">
        <v>95378</v>
      </c>
      <c r="C15" s="1">
        <v>96.72</v>
      </c>
      <c r="G15" s="66"/>
      <c r="H15" s="66"/>
      <c r="I15" s="66"/>
    </row>
    <row r="16" spans="1:9">
      <c r="A16" s="1" t="s">
        <v>753</v>
      </c>
      <c r="B16" s="66">
        <v>103963</v>
      </c>
      <c r="C16" s="1">
        <v>96.87</v>
      </c>
      <c r="G16" s="66"/>
      <c r="H16" s="66"/>
      <c r="I16" s="66"/>
    </row>
    <row r="17" spans="1:16">
      <c r="A17" s="1" t="s">
        <v>752</v>
      </c>
      <c r="B17" s="66">
        <v>147928</v>
      </c>
      <c r="C17" s="1">
        <v>96.8</v>
      </c>
      <c r="G17" s="66"/>
      <c r="H17" s="66"/>
      <c r="I17" s="66"/>
    </row>
    <row r="18" spans="1:16">
      <c r="A18" s="1" t="s">
        <v>751</v>
      </c>
      <c r="B18" s="66">
        <v>135721</v>
      </c>
      <c r="C18" s="1">
        <v>94.89</v>
      </c>
      <c r="G18" s="66"/>
      <c r="H18" s="66"/>
    </row>
    <row r="19" spans="1:16">
      <c r="A19" s="1" t="s">
        <v>750</v>
      </c>
      <c r="B19" s="66">
        <v>140664</v>
      </c>
      <c r="C19" s="1">
        <v>96.86</v>
      </c>
      <c r="G19" s="66"/>
      <c r="H19" s="66"/>
    </row>
    <row r="20" spans="1:16">
      <c r="A20" s="1" t="s">
        <v>760</v>
      </c>
      <c r="B20" s="1">
        <v>0</v>
      </c>
      <c r="C20" s="1">
        <v>0</v>
      </c>
    </row>
    <row r="21" spans="1:16">
      <c r="A21" s="1" t="s">
        <v>749</v>
      </c>
      <c r="B21" s="1">
        <v>10</v>
      </c>
      <c r="C21" s="1">
        <v>98.08</v>
      </c>
      <c r="H21" s="66"/>
    </row>
    <row r="23" spans="1:16">
      <c r="A23" s="67" t="s">
        <v>664</v>
      </c>
      <c r="B23" s="68">
        <f>SUM(B10:B21)</f>
        <v>1078756</v>
      </c>
      <c r="C23" s="67"/>
      <c r="I23" s="66"/>
    </row>
    <row r="24" spans="1:16">
      <c r="A24" s="13"/>
      <c r="B24" s="74"/>
      <c r="C24" s="13"/>
      <c r="I24" s="66"/>
    </row>
    <row r="25" spans="1:16">
      <c r="I25" s="66"/>
      <c r="P25" s="66"/>
    </row>
    <row r="26" spans="1:16">
      <c r="A26" s="1" t="s">
        <v>683</v>
      </c>
      <c r="I26" s="66"/>
    </row>
    <row r="27" spans="1:16">
      <c r="A27" s="60" t="s">
        <v>682</v>
      </c>
      <c r="B27" s="61"/>
      <c r="C27" s="61"/>
      <c r="D27" s="61"/>
      <c r="E27" s="61"/>
      <c r="F27" s="61"/>
      <c r="G27" s="61"/>
      <c r="H27" s="61"/>
    </row>
    <row r="28" spans="1:16">
      <c r="B28" s="13" t="s">
        <v>681</v>
      </c>
      <c r="C28" s="13" t="s">
        <v>680</v>
      </c>
      <c r="D28" s="13" t="s">
        <v>679</v>
      </c>
      <c r="E28" s="13" t="s">
        <v>678</v>
      </c>
      <c r="F28" s="13" t="s">
        <v>677</v>
      </c>
      <c r="G28" s="13" t="s">
        <v>676</v>
      </c>
      <c r="H28" s="13" t="s">
        <v>675</v>
      </c>
    </row>
    <row r="29" spans="1:16">
      <c r="A29" s="1" t="s">
        <v>759</v>
      </c>
      <c r="B29" s="66">
        <v>93542</v>
      </c>
      <c r="C29" s="66">
        <v>91825</v>
      </c>
      <c r="D29" s="66">
        <v>91780</v>
      </c>
      <c r="E29" s="66">
        <v>90530</v>
      </c>
      <c r="F29" s="66">
        <v>90530</v>
      </c>
      <c r="G29" s="66">
        <v>82593</v>
      </c>
      <c r="H29" s="69">
        <f t="shared" ref="H29:H39" si="0">G29/B29</f>
        <v>0.88295097389407962</v>
      </c>
    </row>
    <row r="30" spans="1:16">
      <c r="A30" s="1" t="s">
        <v>758</v>
      </c>
      <c r="B30" s="66">
        <v>90665</v>
      </c>
      <c r="C30" s="66">
        <v>88963</v>
      </c>
      <c r="D30" s="66">
        <v>88958</v>
      </c>
      <c r="E30" s="66">
        <v>88155</v>
      </c>
      <c r="F30" s="66">
        <v>88155</v>
      </c>
      <c r="G30" s="66">
        <v>85113</v>
      </c>
      <c r="H30" s="69">
        <f t="shared" si="0"/>
        <v>0.93876358021287154</v>
      </c>
    </row>
    <row r="31" spans="1:16">
      <c r="A31" s="1" t="s">
        <v>757</v>
      </c>
      <c r="B31" s="66">
        <v>90010</v>
      </c>
      <c r="C31" s="66">
        <v>88172</v>
      </c>
      <c r="D31" s="66">
        <v>88155</v>
      </c>
      <c r="E31" s="66">
        <v>87056</v>
      </c>
      <c r="F31" s="66">
        <v>87056</v>
      </c>
      <c r="G31" s="66">
        <v>77730</v>
      </c>
      <c r="H31" s="69">
        <f t="shared" si="0"/>
        <v>0.8635707143650706</v>
      </c>
    </row>
    <row r="32" spans="1:16">
      <c r="A32" s="1" t="s">
        <v>756</v>
      </c>
      <c r="B32" s="66">
        <v>88340</v>
      </c>
      <c r="C32" s="66">
        <v>86745</v>
      </c>
      <c r="D32" s="66">
        <v>86711</v>
      </c>
      <c r="E32" s="66">
        <v>85880</v>
      </c>
      <c r="F32" s="66">
        <v>85880</v>
      </c>
      <c r="G32" s="66">
        <v>82334</v>
      </c>
      <c r="H32" s="69">
        <f t="shared" si="0"/>
        <v>0.93201267828843104</v>
      </c>
    </row>
    <row r="33" spans="1:8">
      <c r="A33" s="1" t="s">
        <v>755</v>
      </c>
      <c r="B33" s="66">
        <v>85666</v>
      </c>
      <c r="C33" s="66">
        <v>84417</v>
      </c>
      <c r="D33" s="66">
        <v>84381</v>
      </c>
      <c r="E33" s="66">
        <v>83979</v>
      </c>
      <c r="F33" s="66">
        <v>83979</v>
      </c>
      <c r="G33" s="66">
        <v>81757</v>
      </c>
      <c r="H33" s="69">
        <f t="shared" si="0"/>
        <v>0.9543692947026825</v>
      </c>
    </row>
    <row r="34" spans="1:8">
      <c r="A34" s="1" t="s">
        <v>754</v>
      </c>
      <c r="B34" s="66">
        <v>93492</v>
      </c>
      <c r="C34" s="66">
        <v>91777</v>
      </c>
      <c r="D34" s="66">
        <v>91755</v>
      </c>
      <c r="E34" s="66">
        <v>90611</v>
      </c>
      <c r="F34" s="66">
        <v>90611</v>
      </c>
      <c r="G34" s="66">
        <v>72642</v>
      </c>
      <c r="H34" s="69">
        <f t="shared" si="0"/>
        <v>0.7769862662045951</v>
      </c>
    </row>
    <row r="35" spans="1:8">
      <c r="A35" s="1" t="s">
        <v>753</v>
      </c>
      <c r="B35" s="66">
        <v>102365</v>
      </c>
      <c r="C35" s="66">
        <v>100480</v>
      </c>
      <c r="D35" s="66">
        <v>100461</v>
      </c>
      <c r="E35" s="66">
        <v>99744</v>
      </c>
      <c r="F35" s="66">
        <v>99744</v>
      </c>
      <c r="G35" s="66">
        <v>99277</v>
      </c>
      <c r="H35" s="69">
        <f t="shared" si="0"/>
        <v>0.96983343916377673</v>
      </c>
    </row>
    <row r="36" spans="1:8">
      <c r="A36" s="1" t="s">
        <v>752</v>
      </c>
      <c r="B36" s="66">
        <v>146460</v>
      </c>
      <c r="C36" s="66">
        <v>143967</v>
      </c>
      <c r="D36" s="66">
        <v>143962</v>
      </c>
      <c r="E36" s="66">
        <v>143942</v>
      </c>
      <c r="F36" s="66">
        <v>143942</v>
      </c>
      <c r="G36" s="66">
        <v>143942</v>
      </c>
      <c r="H36" s="69">
        <f t="shared" si="0"/>
        <v>0.98280759251672811</v>
      </c>
    </row>
    <row r="37" spans="1:8">
      <c r="A37" s="1" t="s">
        <v>751</v>
      </c>
      <c r="B37" s="66">
        <v>133987</v>
      </c>
      <c r="C37" s="66">
        <v>127050</v>
      </c>
      <c r="D37" s="66">
        <v>127037</v>
      </c>
      <c r="E37" s="66">
        <v>125509</v>
      </c>
      <c r="F37" s="66">
        <v>125509</v>
      </c>
      <c r="G37" s="66">
        <v>125508</v>
      </c>
      <c r="H37" s="69">
        <f t="shared" si="0"/>
        <v>0.93671774127340712</v>
      </c>
    </row>
    <row r="38" spans="1:8">
      <c r="A38" s="1" t="s">
        <v>750</v>
      </c>
      <c r="B38" s="66">
        <v>139341</v>
      </c>
      <c r="C38" s="66">
        <v>137038</v>
      </c>
      <c r="D38" s="66">
        <v>137032</v>
      </c>
      <c r="E38" s="66">
        <v>137016</v>
      </c>
      <c r="F38" s="66">
        <v>137016</v>
      </c>
      <c r="G38" s="66">
        <v>136965</v>
      </c>
      <c r="H38" s="69">
        <f t="shared" si="0"/>
        <v>0.98294830667212096</v>
      </c>
    </row>
    <row r="39" spans="1:8">
      <c r="A39" s="1" t="s">
        <v>749</v>
      </c>
      <c r="B39" s="66">
        <v>10</v>
      </c>
      <c r="C39" s="66">
        <v>10</v>
      </c>
      <c r="D39" s="66">
        <v>10</v>
      </c>
      <c r="E39" s="66">
        <v>10</v>
      </c>
      <c r="F39" s="66">
        <v>10</v>
      </c>
      <c r="G39" s="66">
        <v>10</v>
      </c>
      <c r="H39" s="69">
        <f t="shared" si="0"/>
        <v>1</v>
      </c>
    </row>
    <row r="40" spans="1:8">
      <c r="B40" s="66"/>
      <c r="C40" s="66"/>
      <c r="D40" s="66"/>
      <c r="E40" s="66"/>
      <c r="F40" s="66"/>
      <c r="G40" s="66"/>
      <c r="H40" s="69"/>
    </row>
    <row r="41" spans="1:8">
      <c r="A41" s="67" t="s">
        <v>664</v>
      </c>
      <c r="B41" s="68">
        <f t="shared" ref="B41:G41" si="1">SUM(B29:B39)</f>
        <v>1063878</v>
      </c>
      <c r="C41" s="68">
        <f t="shared" si="1"/>
        <v>1040444</v>
      </c>
      <c r="D41" s="68">
        <f t="shared" si="1"/>
        <v>1040242</v>
      </c>
      <c r="E41" s="68">
        <f t="shared" si="1"/>
        <v>1032432</v>
      </c>
      <c r="F41" s="68">
        <f t="shared" si="1"/>
        <v>1032432</v>
      </c>
      <c r="G41" s="68">
        <f t="shared" si="1"/>
        <v>987871</v>
      </c>
      <c r="H41" s="70">
        <f>G41/B41</f>
        <v>0.92855665781226793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8853-8A83-3544-A430-14D1C933D8DE}">
  <dimension ref="A1:I40"/>
  <sheetViews>
    <sheetView zoomScale="150" zoomScaleNormal="150" workbookViewId="0"/>
  </sheetViews>
  <sheetFormatPr baseColWidth="10" defaultRowHeight="16"/>
  <cols>
    <col min="1" max="1" width="19.83203125" style="1" customWidth="1"/>
    <col min="2" max="16384" width="10.83203125" style="1"/>
  </cols>
  <sheetData>
    <row r="1" spans="1:9">
      <c r="A1" s="13" t="s">
        <v>3022</v>
      </c>
    </row>
    <row r="2" spans="1:9">
      <c r="A2" s="60" t="s">
        <v>761</v>
      </c>
      <c r="B2" s="61"/>
      <c r="C2" s="61"/>
      <c r="D2" s="61"/>
    </row>
    <row r="3" spans="1:9">
      <c r="A3" s="32" t="s">
        <v>699</v>
      </c>
      <c r="B3" s="32" t="s">
        <v>691</v>
      </c>
      <c r="C3" s="62"/>
      <c r="D3" s="62"/>
    </row>
    <row r="4" spans="1:9">
      <c r="A4" s="63">
        <f>2655284/2</f>
        <v>1327642</v>
      </c>
      <c r="B4" s="8">
        <v>95.06</v>
      </c>
      <c r="C4" s="8"/>
      <c r="D4" s="8"/>
    </row>
    <row r="5" spans="1:9">
      <c r="A5" s="13"/>
    </row>
    <row r="7" spans="1:9">
      <c r="A7" s="1" t="s">
        <v>698</v>
      </c>
    </row>
    <row r="8" spans="1:9">
      <c r="A8" s="60" t="s">
        <v>697</v>
      </c>
      <c r="B8" s="60" t="s">
        <v>696</v>
      </c>
      <c r="C8" s="60"/>
    </row>
    <row r="9" spans="1:9">
      <c r="A9" s="13" t="s">
        <v>693</v>
      </c>
      <c r="B9" s="13" t="s">
        <v>692</v>
      </c>
      <c r="C9" s="13" t="s">
        <v>691</v>
      </c>
    </row>
    <row r="10" spans="1:9">
      <c r="A10" s="1" t="s">
        <v>772</v>
      </c>
      <c r="B10" s="66">
        <v>150660</v>
      </c>
      <c r="C10" s="1">
        <v>94.38</v>
      </c>
      <c r="H10" s="66"/>
      <c r="I10" s="66"/>
    </row>
    <row r="11" spans="1:9">
      <c r="A11" s="1" t="s">
        <v>771</v>
      </c>
      <c r="B11" s="66">
        <v>141305</v>
      </c>
      <c r="C11" s="1">
        <v>95.05</v>
      </c>
      <c r="H11" s="66"/>
      <c r="I11" s="66"/>
    </row>
    <row r="12" spans="1:9">
      <c r="A12" s="1" t="s">
        <v>770</v>
      </c>
      <c r="B12" s="66">
        <v>178749</v>
      </c>
      <c r="C12" s="1">
        <v>94.55</v>
      </c>
      <c r="H12" s="66"/>
      <c r="I12" s="66"/>
    </row>
    <row r="13" spans="1:9">
      <c r="A13" s="1" t="s">
        <v>769</v>
      </c>
      <c r="B13" s="66">
        <v>163730</v>
      </c>
      <c r="C13" s="1">
        <v>94.28</v>
      </c>
      <c r="H13" s="66"/>
      <c r="I13" s="66"/>
    </row>
    <row r="14" spans="1:9">
      <c r="A14" s="1" t="s">
        <v>768</v>
      </c>
      <c r="B14" s="66">
        <v>151254</v>
      </c>
      <c r="C14" s="1">
        <v>94.44</v>
      </c>
      <c r="H14" s="66"/>
      <c r="I14" s="66"/>
    </row>
    <row r="15" spans="1:9">
      <c r="A15" s="1" t="s">
        <v>767</v>
      </c>
      <c r="B15" s="66">
        <v>142963</v>
      </c>
      <c r="C15" s="1">
        <v>94.8</v>
      </c>
      <c r="H15" s="66"/>
      <c r="I15" s="66"/>
    </row>
    <row r="16" spans="1:9">
      <c r="A16" s="1" t="s">
        <v>766</v>
      </c>
      <c r="B16" s="66">
        <v>135156</v>
      </c>
      <c r="C16" s="1">
        <v>94.38</v>
      </c>
      <c r="H16" s="66"/>
      <c r="I16" s="66"/>
    </row>
    <row r="17" spans="1:9">
      <c r="A17" s="1" t="s">
        <v>765</v>
      </c>
      <c r="B17" s="66">
        <v>69258</v>
      </c>
      <c r="C17" s="1">
        <v>94.46</v>
      </c>
      <c r="H17" s="66"/>
      <c r="I17" s="66"/>
    </row>
    <row r="18" spans="1:9">
      <c r="A18" s="1" t="s">
        <v>764</v>
      </c>
      <c r="B18" s="66">
        <v>88735</v>
      </c>
      <c r="C18" s="1">
        <v>94.45</v>
      </c>
      <c r="H18" s="66"/>
      <c r="I18" s="66"/>
    </row>
    <row r="19" spans="1:9">
      <c r="A19" s="1" t="s">
        <v>763</v>
      </c>
      <c r="B19" s="66">
        <v>105744</v>
      </c>
      <c r="C19" s="1">
        <v>93.6</v>
      </c>
      <c r="H19" s="66"/>
      <c r="I19" s="66"/>
    </row>
    <row r="20" spans="1:9">
      <c r="A20" s="1" t="s">
        <v>773</v>
      </c>
      <c r="B20" s="1">
        <v>0</v>
      </c>
      <c r="C20" s="1" t="s">
        <v>685</v>
      </c>
      <c r="H20" s="66"/>
      <c r="I20" s="66"/>
    </row>
    <row r="21" spans="1:9">
      <c r="A21" s="1" t="s">
        <v>762</v>
      </c>
      <c r="B21" s="1">
        <v>88</v>
      </c>
      <c r="C21" s="1">
        <v>96.15</v>
      </c>
    </row>
    <row r="22" spans="1:9">
      <c r="I22" s="66"/>
    </row>
    <row r="23" spans="1:9">
      <c r="A23" s="67" t="s">
        <v>664</v>
      </c>
      <c r="B23" s="68">
        <f>SUM(B10:B21)</f>
        <v>1327642</v>
      </c>
      <c r="C23" s="67">
        <v>95.06</v>
      </c>
    </row>
    <row r="24" spans="1:9">
      <c r="I24" s="66"/>
    </row>
    <row r="25" spans="1:9">
      <c r="I25" s="66"/>
    </row>
    <row r="26" spans="1:9">
      <c r="A26" s="60" t="s">
        <v>682</v>
      </c>
      <c r="B26" s="61"/>
      <c r="C26" s="61"/>
      <c r="D26" s="61"/>
      <c r="E26" s="61"/>
      <c r="F26" s="61"/>
      <c r="G26" s="61"/>
      <c r="H26" s="61"/>
    </row>
    <row r="27" spans="1:9">
      <c r="B27" s="13" t="s">
        <v>681</v>
      </c>
      <c r="C27" s="13" t="s">
        <v>680</v>
      </c>
      <c r="D27" s="13" t="s">
        <v>679</v>
      </c>
      <c r="E27" s="13" t="s">
        <v>678</v>
      </c>
      <c r="F27" s="13" t="s">
        <v>677</v>
      </c>
      <c r="G27" s="13" t="s">
        <v>676</v>
      </c>
      <c r="H27" s="13" t="s">
        <v>675</v>
      </c>
    </row>
    <row r="28" spans="1:9">
      <c r="A28" s="1" t="s">
        <v>772</v>
      </c>
      <c r="B28" s="66">
        <v>148038</v>
      </c>
      <c r="C28" s="66">
        <v>147714</v>
      </c>
      <c r="D28" s="66">
        <v>147675</v>
      </c>
      <c r="E28" s="66">
        <v>146044</v>
      </c>
      <c r="F28" s="66">
        <v>146044</v>
      </c>
      <c r="G28" s="66">
        <v>136056</v>
      </c>
      <c r="H28" s="69">
        <f t="shared" ref="H28:H38" si="0">G28/B28</f>
        <v>0.91906132209297609</v>
      </c>
    </row>
    <row r="29" spans="1:9">
      <c r="A29" s="1" t="s">
        <v>771</v>
      </c>
      <c r="B29" s="66">
        <v>139023</v>
      </c>
      <c r="C29" s="66">
        <v>138779</v>
      </c>
      <c r="D29" s="66">
        <v>138709</v>
      </c>
      <c r="E29" s="66">
        <v>137709</v>
      </c>
      <c r="F29" s="66">
        <v>137709</v>
      </c>
      <c r="G29" s="66">
        <v>135185</v>
      </c>
      <c r="H29" s="69">
        <f t="shared" si="0"/>
        <v>0.97239305726390601</v>
      </c>
    </row>
    <row r="30" spans="1:9">
      <c r="A30" s="1" t="s">
        <v>770</v>
      </c>
      <c r="B30" s="66">
        <v>175464</v>
      </c>
      <c r="C30" s="66">
        <v>175121</v>
      </c>
      <c r="D30" s="66">
        <v>175091</v>
      </c>
      <c r="E30" s="66">
        <v>173253</v>
      </c>
      <c r="F30" s="66">
        <v>173253</v>
      </c>
      <c r="G30" s="66">
        <v>162119</v>
      </c>
      <c r="H30" s="69">
        <f t="shared" si="0"/>
        <v>0.9239445128345416</v>
      </c>
    </row>
    <row r="31" spans="1:9">
      <c r="A31" s="1" t="s">
        <v>769</v>
      </c>
      <c r="B31" s="66">
        <v>160892</v>
      </c>
      <c r="C31" s="66">
        <v>160556</v>
      </c>
      <c r="D31" s="66">
        <v>160459</v>
      </c>
      <c r="E31" s="66">
        <v>158952</v>
      </c>
      <c r="F31" s="66">
        <v>158952</v>
      </c>
      <c r="G31" s="66">
        <v>150381</v>
      </c>
      <c r="H31" s="69">
        <f t="shared" si="0"/>
        <v>0.93467046217338334</v>
      </c>
    </row>
    <row r="32" spans="1:9">
      <c r="A32" s="1" t="s">
        <v>768</v>
      </c>
      <c r="B32" s="66">
        <v>149033</v>
      </c>
      <c r="C32" s="66">
        <v>148683</v>
      </c>
      <c r="D32" s="66">
        <v>148594</v>
      </c>
      <c r="E32" s="66">
        <v>147632</v>
      </c>
      <c r="F32" s="66">
        <v>147632</v>
      </c>
      <c r="G32" s="66">
        <v>141934</v>
      </c>
      <c r="H32" s="69">
        <f t="shared" si="0"/>
        <v>0.95236625445371159</v>
      </c>
    </row>
    <row r="33" spans="1:8">
      <c r="A33" s="1" t="s">
        <v>767</v>
      </c>
      <c r="B33" s="66">
        <v>140289</v>
      </c>
      <c r="C33" s="66">
        <v>140040</v>
      </c>
      <c r="D33" s="66">
        <v>139955</v>
      </c>
      <c r="E33" s="66">
        <v>137886</v>
      </c>
      <c r="F33" s="66">
        <v>137886</v>
      </c>
      <c r="G33" s="66">
        <v>136159</v>
      </c>
      <c r="H33" s="69">
        <f t="shared" si="0"/>
        <v>0.97056077097990578</v>
      </c>
    </row>
    <row r="34" spans="1:8">
      <c r="A34" s="1" t="s">
        <v>766</v>
      </c>
      <c r="B34" s="66">
        <v>132682</v>
      </c>
      <c r="C34" s="66">
        <v>132472</v>
      </c>
      <c r="D34" s="66">
        <v>132295</v>
      </c>
      <c r="E34" s="66">
        <v>129993</v>
      </c>
      <c r="F34" s="66">
        <v>129993</v>
      </c>
      <c r="G34" s="66">
        <v>125403</v>
      </c>
      <c r="H34" s="69">
        <f t="shared" si="0"/>
        <v>0.94513950648919975</v>
      </c>
    </row>
    <row r="35" spans="1:8">
      <c r="A35" s="1" t="s">
        <v>765</v>
      </c>
      <c r="B35" s="66">
        <v>68008</v>
      </c>
      <c r="C35" s="66">
        <v>67896</v>
      </c>
      <c r="D35" s="66">
        <v>67804</v>
      </c>
      <c r="E35" s="66">
        <v>65019</v>
      </c>
      <c r="F35" s="66">
        <v>65019</v>
      </c>
      <c r="G35" s="66">
        <v>62500</v>
      </c>
      <c r="H35" s="69">
        <f t="shared" si="0"/>
        <v>0.9190095282907893</v>
      </c>
    </row>
    <row r="36" spans="1:8">
      <c r="A36" s="1" t="s">
        <v>764</v>
      </c>
      <c r="B36" s="66">
        <v>87260</v>
      </c>
      <c r="C36" s="66">
        <v>87127</v>
      </c>
      <c r="D36" s="66">
        <v>86980</v>
      </c>
      <c r="E36" s="66">
        <v>84950</v>
      </c>
      <c r="F36" s="66">
        <v>84950</v>
      </c>
      <c r="G36" s="66">
        <v>82360</v>
      </c>
      <c r="H36" s="69">
        <f t="shared" si="0"/>
        <v>0.94384597753839106</v>
      </c>
    </row>
    <row r="37" spans="1:8">
      <c r="A37" s="1" t="s">
        <v>763</v>
      </c>
      <c r="B37" s="66">
        <v>104069</v>
      </c>
      <c r="C37" s="66">
        <v>103875</v>
      </c>
      <c r="D37" s="66">
        <v>103637</v>
      </c>
      <c r="E37" s="66">
        <v>99811</v>
      </c>
      <c r="F37" s="66">
        <v>99811</v>
      </c>
      <c r="G37" s="66">
        <v>92927</v>
      </c>
      <c r="H37" s="69">
        <f t="shared" si="0"/>
        <v>0.89293641718475247</v>
      </c>
    </row>
    <row r="38" spans="1:8">
      <c r="A38" s="1" t="s">
        <v>762</v>
      </c>
      <c r="B38" s="66">
        <v>87</v>
      </c>
      <c r="C38" s="66">
        <v>87</v>
      </c>
      <c r="D38" s="66">
        <v>87</v>
      </c>
      <c r="E38" s="66">
        <v>87</v>
      </c>
      <c r="F38" s="66">
        <v>87</v>
      </c>
      <c r="G38" s="66">
        <v>87</v>
      </c>
      <c r="H38" s="69">
        <f t="shared" si="0"/>
        <v>1</v>
      </c>
    </row>
    <row r="39" spans="1:8">
      <c r="B39" s="66"/>
      <c r="C39" s="66"/>
      <c r="D39" s="66"/>
      <c r="E39" s="66"/>
      <c r="F39" s="66"/>
      <c r="G39" s="66"/>
      <c r="H39" s="69"/>
    </row>
    <row r="40" spans="1:8">
      <c r="A40" s="67" t="s">
        <v>664</v>
      </c>
      <c r="B40" s="68">
        <f t="shared" ref="B40:G40" si="1">SUM(B28:B38)</f>
        <v>1304845</v>
      </c>
      <c r="C40" s="68">
        <f t="shared" si="1"/>
        <v>1302350</v>
      </c>
      <c r="D40" s="68">
        <f t="shared" si="1"/>
        <v>1301286</v>
      </c>
      <c r="E40" s="68">
        <f t="shared" si="1"/>
        <v>1281336</v>
      </c>
      <c r="F40" s="68">
        <f t="shared" si="1"/>
        <v>1281336</v>
      </c>
      <c r="G40" s="68">
        <f t="shared" si="1"/>
        <v>1225111</v>
      </c>
      <c r="H40" s="70">
        <f>G40/B40</f>
        <v>0.93889389161164738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D990-AD3A-9B4C-91F0-C56F464EB519}">
  <dimension ref="A1:I46"/>
  <sheetViews>
    <sheetView zoomScale="150" zoomScaleNormal="150" workbookViewId="0"/>
  </sheetViews>
  <sheetFormatPr baseColWidth="10" defaultRowHeight="16"/>
  <cols>
    <col min="1" max="1" width="19.83203125" style="1" customWidth="1"/>
    <col min="2" max="16384" width="10.83203125" style="1"/>
  </cols>
  <sheetData>
    <row r="1" spans="1:9">
      <c r="A1" s="13" t="s">
        <v>3023</v>
      </c>
    </row>
    <row r="2" spans="1:9">
      <c r="A2" s="60" t="s">
        <v>761</v>
      </c>
      <c r="B2" s="61"/>
      <c r="C2" s="61"/>
      <c r="D2" s="61"/>
    </row>
    <row r="3" spans="1:9">
      <c r="A3" s="32" t="s">
        <v>699</v>
      </c>
      <c r="B3" s="32" t="s">
        <v>691</v>
      </c>
      <c r="C3" s="62"/>
      <c r="D3" s="62"/>
    </row>
    <row r="4" spans="1:9">
      <c r="A4" s="63">
        <f>7284438/2</f>
        <v>3642219</v>
      </c>
      <c r="B4" s="8">
        <v>92.53</v>
      </c>
      <c r="C4" s="8"/>
      <c r="D4" s="8"/>
    </row>
    <row r="5" spans="1:9">
      <c r="A5" s="13"/>
    </row>
    <row r="7" spans="1:9">
      <c r="A7" s="1" t="s">
        <v>698</v>
      </c>
    </row>
    <row r="8" spans="1:9">
      <c r="A8" s="60" t="s">
        <v>697</v>
      </c>
      <c r="B8" s="60" t="s">
        <v>696</v>
      </c>
      <c r="C8" s="60"/>
      <c r="D8" s="60" t="s">
        <v>695</v>
      </c>
      <c r="E8" s="60"/>
      <c r="F8" s="60" t="s">
        <v>694</v>
      </c>
      <c r="G8" s="60"/>
      <c r="H8" s="60"/>
      <c r="I8" s="60" t="s">
        <v>664</v>
      </c>
    </row>
    <row r="9" spans="1:9">
      <c r="A9" s="13" t="s">
        <v>693</v>
      </c>
      <c r="B9" s="13" t="s">
        <v>692</v>
      </c>
      <c r="C9" s="13" t="s">
        <v>691</v>
      </c>
      <c r="D9" s="13" t="s">
        <v>692</v>
      </c>
      <c r="E9" s="13" t="s">
        <v>691</v>
      </c>
      <c r="F9" s="13" t="s">
        <v>692</v>
      </c>
      <c r="G9" s="13" t="s">
        <v>691</v>
      </c>
    </row>
    <row r="10" spans="1:9">
      <c r="A10" s="1" t="s">
        <v>782</v>
      </c>
      <c r="B10" s="66">
        <v>1255747</v>
      </c>
      <c r="C10" s="1">
        <v>90.62</v>
      </c>
      <c r="D10" s="66">
        <v>452308</v>
      </c>
      <c r="E10" s="1">
        <v>92.38</v>
      </c>
      <c r="F10" s="66">
        <v>258572</v>
      </c>
      <c r="G10" s="1">
        <v>92.89</v>
      </c>
      <c r="I10" s="66">
        <f t="shared" ref="I10:I17" si="0">SUM(B10, D10, F10)</f>
        <v>1966627</v>
      </c>
    </row>
    <row r="11" spans="1:9">
      <c r="A11" s="1" t="s">
        <v>781</v>
      </c>
      <c r="B11" s="66">
        <v>929930</v>
      </c>
      <c r="C11" s="1">
        <v>90.78</v>
      </c>
      <c r="D11" s="66">
        <v>423971</v>
      </c>
      <c r="E11" s="1">
        <v>92.61</v>
      </c>
      <c r="F11" s="66">
        <v>218625</v>
      </c>
      <c r="G11" s="1">
        <v>92.95</v>
      </c>
      <c r="I11" s="66">
        <f t="shared" si="0"/>
        <v>1572526</v>
      </c>
    </row>
    <row r="12" spans="1:9">
      <c r="A12" s="1" t="s">
        <v>780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I12" s="66">
        <f t="shared" si="0"/>
        <v>0</v>
      </c>
    </row>
    <row r="13" spans="1:9">
      <c r="A13" s="1" t="s">
        <v>779</v>
      </c>
      <c r="B13" s="1">
        <v>45</v>
      </c>
      <c r="C13" s="1">
        <v>87.21</v>
      </c>
      <c r="D13" s="1">
        <v>47</v>
      </c>
      <c r="E13" s="1">
        <v>87</v>
      </c>
      <c r="F13" s="1">
        <v>31</v>
      </c>
      <c r="G13" s="1">
        <v>82.07</v>
      </c>
      <c r="I13" s="66">
        <f t="shared" si="0"/>
        <v>123</v>
      </c>
    </row>
    <row r="14" spans="1:9">
      <c r="A14" s="1" t="s">
        <v>778</v>
      </c>
      <c r="B14" s="66">
        <v>59087</v>
      </c>
      <c r="C14" s="1">
        <v>92.73</v>
      </c>
      <c r="D14" s="66">
        <v>29195</v>
      </c>
      <c r="E14" s="1">
        <v>94.17</v>
      </c>
      <c r="F14" s="66">
        <v>14656</v>
      </c>
      <c r="G14" s="1">
        <v>94.32</v>
      </c>
      <c r="I14" s="66">
        <f t="shared" si="0"/>
        <v>102938</v>
      </c>
    </row>
    <row r="15" spans="1:9">
      <c r="A15" s="1" t="s">
        <v>777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I15" s="66">
        <f t="shared" si="0"/>
        <v>0</v>
      </c>
    </row>
    <row r="16" spans="1:9">
      <c r="A16" s="1" t="s">
        <v>776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86.78</v>
      </c>
      <c r="I16" s="66">
        <f t="shared" si="0"/>
        <v>1</v>
      </c>
    </row>
    <row r="17" spans="1:9">
      <c r="A17" s="1" t="s">
        <v>775</v>
      </c>
      <c r="B17" s="1">
        <v>3</v>
      </c>
      <c r="C17" s="1">
        <v>72.31</v>
      </c>
      <c r="D17" s="1">
        <v>0</v>
      </c>
      <c r="E17" s="1">
        <v>0</v>
      </c>
      <c r="F17" s="1">
        <v>1</v>
      </c>
      <c r="G17" s="1">
        <v>88.02</v>
      </c>
      <c r="I17" s="66">
        <f t="shared" si="0"/>
        <v>4</v>
      </c>
    </row>
    <row r="19" spans="1:9">
      <c r="A19" s="67" t="s">
        <v>664</v>
      </c>
      <c r="B19" s="67"/>
      <c r="C19" s="67"/>
      <c r="D19" s="67"/>
      <c r="E19" s="67"/>
      <c r="F19" s="67"/>
      <c r="G19" s="67"/>
      <c r="H19" s="67"/>
      <c r="I19" s="68">
        <f>SUM(I10:I17)</f>
        <v>3642219</v>
      </c>
    </row>
    <row r="20" spans="1:9">
      <c r="I20" s="66"/>
    </row>
    <row r="21" spans="1:9">
      <c r="I21" s="66"/>
    </row>
    <row r="22" spans="1:9">
      <c r="A22" s="60" t="s">
        <v>682</v>
      </c>
      <c r="B22" s="61"/>
      <c r="C22" s="61"/>
      <c r="D22" s="61"/>
      <c r="E22" s="61"/>
      <c r="F22" s="61"/>
      <c r="G22" s="61"/>
      <c r="H22" s="61"/>
    </row>
    <row r="23" spans="1:9">
      <c r="B23" s="13" t="s">
        <v>681</v>
      </c>
      <c r="C23" s="13" t="s">
        <v>680</v>
      </c>
      <c r="D23" s="13" t="s">
        <v>679</v>
      </c>
      <c r="E23" s="13" t="s">
        <v>678</v>
      </c>
      <c r="F23" s="13" t="s">
        <v>677</v>
      </c>
      <c r="G23" s="13" t="s">
        <v>676</v>
      </c>
      <c r="H23" s="13" t="s">
        <v>675</v>
      </c>
    </row>
    <row r="24" spans="1:9">
      <c r="A24" s="1" t="s">
        <v>782</v>
      </c>
      <c r="B24" s="66">
        <v>1960321</v>
      </c>
      <c r="C24" s="66">
        <v>1823107</v>
      </c>
      <c r="D24" s="66">
        <v>1823005</v>
      </c>
      <c r="E24" s="66">
        <v>1801076</v>
      </c>
      <c r="F24" s="66">
        <v>1801076</v>
      </c>
      <c r="G24" s="66">
        <v>1800670</v>
      </c>
      <c r="H24" s="69">
        <f>G24/B24</f>
        <v>0.91855874624615053</v>
      </c>
    </row>
    <row r="25" spans="1:9">
      <c r="A25" s="1" t="s">
        <v>781</v>
      </c>
      <c r="B25" s="66">
        <v>1567847</v>
      </c>
      <c r="C25" s="66">
        <v>1465421</v>
      </c>
      <c r="D25" s="66">
        <v>1465307</v>
      </c>
      <c r="E25" s="66">
        <v>1447675</v>
      </c>
      <c r="F25" s="66">
        <v>1447675</v>
      </c>
      <c r="G25" s="66">
        <v>1447562</v>
      </c>
      <c r="H25" s="75">
        <f>G25/B25</f>
        <v>0.92328014149339832</v>
      </c>
    </row>
    <row r="26" spans="1:9">
      <c r="A26" s="1" t="s">
        <v>780</v>
      </c>
      <c r="B26" s="66">
        <v>0</v>
      </c>
      <c r="C26" s="66">
        <v>0</v>
      </c>
      <c r="D26" s="66">
        <v>0</v>
      </c>
      <c r="E26" s="66">
        <v>0</v>
      </c>
      <c r="F26" s="66">
        <v>0</v>
      </c>
      <c r="G26" s="66">
        <v>0</v>
      </c>
      <c r="H26" s="75" t="s">
        <v>685</v>
      </c>
    </row>
    <row r="27" spans="1:9">
      <c r="A27" s="1" t="s">
        <v>779</v>
      </c>
      <c r="B27" s="66">
        <v>1</v>
      </c>
      <c r="C27" s="66">
        <v>1</v>
      </c>
      <c r="D27" s="66">
        <v>1</v>
      </c>
      <c r="E27" s="66">
        <v>1</v>
      </c>
      <c r="F27" s="66">
        <v>1</v>
      </c>
      <c r="G27" s="66">
        <v>1</v>
      </c>
      <c r="H27" s="75">
        <f>G27/B27</f>
        <v>1</v>
      </c>
    </row>
    <row r="28" spans="1:9">
      <c r="A28" s="1" t="s">
        <v>778</v>
      </c>
      <c r="B28" s="66">
        <v>102517</v>
      </c>
      <c r="C28" s="66">
        <v>96243</v>
      </c>
      <c r="D28" s="66">
        <v>96233</v>
      </c>
      <c r="E28" s="66">
        <v>95129</v>
      </c>
      <c r="F28" s="66">
        <v>95129</v>
      </c>
      <c r="G28" s="66">
        <v>95126</v>
      </c>
      <c r="H28" s="75">
        <f>G28/B28</f>
        <v>0.9279046402060146</v>
      </c>
    </row>
    <row r="29" spans="1:9">
      <c r="A29" s="1" t="s">
        <v>777</v>
      </c>
      <c r="B29" s="66">
        <v>0</v>
      </c>
      <c r="C29" s="66">
        <v>0</v>
      </c>
      <c r="D29" s="66">
        <v>0</v>
      </c>
      <c r="E29" s="66">
        <v>0</v>
      </c>
      <c r="F29" s="66">
        <v>0</v>
      </c>
      <c r="G29" s="66">
        <v>0</v>
      </c>
      <c r="H29" s="75" t="s">
        <v>685</v>
      </c>
    </row>
    <row r="30" spans="1:9">
      <c r="A30" s="1" t="s">
        <v>776</v>
      </c>
      <c r="B30" s="66">
        <v>1</v>
      </c>
      <c r="C30" s="66">
        <v>1</v>
      </c>
      <c r="D30" s="66">
        <v>1</v>
      </c>
      <c r="E30" s="66">
        <v>1</v>
      </c>
      <c r="F30" s="66">
        <v>1</v>
      </c>
      <c r="G30" s="66">
        <v>1</v>
      </c>
      <c r="H30" s="75">
        <f>G30/B30</f>
        <v>1</v>
      </c>
    </row>
    <row r="31" spans="1:9">
      <c r="A31" s="1" t="s">
        <v>775</v>
      </c>
      <c r="B31" s="66">
        <v>0</v>
      </c>
      <c r="C31" s="66">
        <v>0</v>
      </c>
      <c r="D31" s="66">
        <v>0</v>
      </c>
      <c r="E31" s="66">
        <v>0</v>
      </c>
      <c r="F31" s="66">
        <v>0</v>
      </c>
      <c r="G31" s="66">
        <v>0</v>
      </c>
      <c r="H31" s="75" t="s">
        <v>685</v>
      </c>
    </row>
    <row r="32" spans="1:9">
      <c r="B32" s="66"/>
      <c r="C32" s="66"/>
      <c r="D32" s="66"/>
      <c r="E32" s="66"/>
      <c r="F32" s="66"/>
      <c r="G32" s="66"/>
      <c r="H32" s="69"/>
    </row>
    <row r="33" spans="1:8">
      <c r="A33" s="67" t="s">
        <v>664</v>
      </c>
      <c r="B33" s="68">
        <f t="shared" ref="B33:G33" si="1">SUM(B24:B31)</f>
        <v>3630687</v>
      </c>
      <c r="C33" s="68">
        <f t="shared" si="1"/>
        <v>3384773</v>
      </c>
      <c r="D33" s="68">
        <f t="shared" si="1"/>
        <v>3384547</v>
      </c>
      <c r="E33" s="68">
        <f t="shared" si="1"/>
        <v>3343882</v>
      </c>
      <c r="F33" s="68">
        <f t="shared" si="1"/>
        <v>3343882</v>
      </c>
      <c r="G33" s="68">
        <f t="shared" si="1"/>
        <v>3343360</v>
      </c>
      <c r="H33" s="70">
        <f>G33/B33</f>
        <v>0.92086153391906267</v>
      </c>
    </row>
    <row r="36" spans="1:8">
      <c r="A36" s="60" t="s">
        <v>784</v>
      </c>
      <c r="B36" s="76" t="s">
        <v>783</v>
      </c>
    </row>
    <row r="37" spans="1:8">
      <c r="A37" s="1" t="s">
        <v>782</v>
      </c>
      <c r="B37" s="66">
        <v>1800670</v>
      </c>
    </row>
    <row r="38" spans="1:8">
      <c r="A38" s="1" t="s">
        <v>781</v>
      </c>
      <c r="B38" s="66">
        <v>1447562</v>
      </c>
    </row>
    <row r="39" spans="1:8">
      <c r="A39" s="1" t="s">
        <v>780</v>
      </c>
      <c r="B39" s="66">
        <v>0</v>
      </c>
    </row>
    <row r="40" spans="1:8">
      <c r="A40" s="1" t="s">
        <v>779</v>
      </c>
      <c r="B40" s="66">
        <v>1</v>
      </c>
    </row>
    <row r="41" spans="1:8">
      <c r="A41" s="1" t="s">
        <v>778</v>
      </c>
      <c r="B41" s="66">
        <v>95126</v>
      </c>
    </row>
    <row r="42" spans="1:8">
      <c r="A42" s="1" t="s">
        <v>777</v>
      </c>
      <c r="B42" s="66">
        <v>0</v>
      </c>
    </row>
    <row r="43" spans="1:8">
      <c r="A43" s="1" t="s">
        <v>776</v>
      </c>
      <c r="B43" s="66">
        <v>1</v>
      </c>
    </row>
    <row r="44" spans="1:8">
      <c r="A44" s="1" t="s">
        <v>775</v>
      </c>
      <c r="B44" s="66">
        <v>0</v>
      </c>
    </row>
    <row r="45" spans="1:8">
      <c r="B45" s="66"/>
    </row>
    <row r="46" spans="1:8">
      <c r="A46" s="67" t="s">
        <v>664</v>
      </c>
      <c r="B46" s="68">
        <f>SUM(B37:B44)</f>
        <v>3343360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68B7-2B53-F64B-B85A-4B4DC610C1AF}">
  <dimension ref="A1:EV26"/>
  <sheetViews>
    <sheetView zoomScale="150" zoomScaleNormal="150" workbookViewId="0">
      <pane xSplit="7" ySplit="5" topLeftCell="H6" activePane="bottomRight" state="frozen"/>
      <selection pane="topRight" activeCell="F1" sqref="F1"/>
      <selection pane="bottomLeft" activeCell="A5" sqref="A5"/>
      <selection pane="bottomRight" activeCell="A5" sqref="A5"/>
    </sheetView>
  </sheetViews>
  <sheetFormatPr baseColWidth="10" defaultRowHeight="16"/>
  <cols>
    <col min="1" max="1" width="10.5" style="1" customWidth="1"/>
    <col min="2" max="2" width="15" style="1" customWidth="1"/>
    <col min="3" max="3" width="13.33203125" style="1" customWidth="1"/>
    <col min="4" max="5" width="9.33203125" style="1" customWidth="1"/>
    <col min="6" max="6" width="18.83203125" style="1" customWidth="1"/>
    <col min="7" max="7" width="10.6640625" style="1" customWidth="1"/>
    <col min="8" max="9" width="11" style="1" customWidth="1"/>
    <col min="10" max="16384" width="10.83203125" style="1"/>
  </cols>
  <sheetData>
    <row r="1" spans="1:152">
      <c r="G1" s="13" t="s">
        <v>1103</v>
      </c>
    </row>
    <row r="2" spans="1:152">
      <c r="G2" s="13" t="s">
        <v>1102</v>
      </c>
      <c r="H2" s="1" t="s">
        <v>165</v>
      </c>
      <c r="I2" s="1" t="s">
        <v>165</v>
      </c>
      <c r="J2" s="1" t="s">
        <v>165</v>
      </c>
      <c r="K2" s="1" t="s">
        <v>165</v>
      </c>
      <c r="L2" s="1" t="s">
        <v>165</v>
      </c>
      <c r="M2" s="1" t="s">
        <v>165</v>
      </c>
      <c r="N2" s="1" t="s">
        <v>165</v>
      </c>
      <c r="O2" s="1" t="s">
        <v>165</v>
      </c>
      <c r="P2" s="1" t="s">
        <v>165</v>
      </c>
      <c r="Q2" s="1" t="s">
        <v>165</v>
      </c>
      <c r="R2" s="1" t="s">
        <v>165</v>
      </c>
      <c r="S2" s="1" t="s">
        <v>165</v>
      </c>
      <c r="T2" s="1" t="s">
        <v>165</v>
      </c>
      <c r="U2" s="1" t="s">
        <v>165</v>
      </c>
      <c r="V2" s="1" t="s">
        <v>165</v>
      </c>
      <c r="W2" s="1" t="s">
        <v>165</v>
      </c>
      <c r="X2" s="1" t="s">
        <v>269</v>
      </c>
      <c r="Y2" s="1" t="s">
        <v>165</v>
      </c>
      <c r="Z2" s="1" t="s">
        <v>165</v>
      </c>
      <c r="AA2" s="1" t="s">
        <v>165</v>
      </c>
      <c r="AB2" s="1" t="s">
        <v>165</v>
      </c>
      <c r="AC2" s="1" t="s">
        <v>165</v>
      </c>
      <c r="AD2" s="1" t="s">
        <v>165</v>
      </c>
      <c r="AE2" s="1" t="s">
        <v>165</v>
      </c>
      <c r="AF2" s="1" t="s">
        <v>165</v>
      </c>
      <c r="AG2" s="1" t="s">
        <v>165</v>
      </c>
      <c r="AH2" s="1" t="s">
        <v>165</v>
      </c>
      <c r="AJ2" s="1" t="s">
        <v>165</v>
      </c>
      <c r="AK2" s="1" t="s">
        <v>165</v>
      </c>
      <c r="AL2" s="1" t="s">
        <v>165</v>
      </c>
      <c r="AM2" s="1" t="s">
        <v>165</v>
      </c>
      <c r="AN2" s="1" t="s">
        <v>165</v>
      </c>
      <c r="AO2" s="1" t="s">
        <v>165</v>
      </c>
      <c r="AP2" s="1" t="s">
        <v>165</v>
      </c>
      <c r="AQ2" s="1" t="s">
        <v>165</v>
      </c>
      <c r="AR2" s="1" t="s">
        <v>165</v>
      </c>
      <c r="AS2" s="1" t="s">
        <v>165</v>
      </c>
      <c r="AT2" s="1" t="s">
        <v>165</v>
      </c>
      <c r="AU2" s="1" t="s">
        <v>165</v>
      </c>
      <c r="AV2" s="1" t="s">
        <v>165</v>
      </c>
      <c r="AW2" s="1" t="s">
        <v>165</v>
      </c>
      <c r="AX2" s="1" t="s">
        <v>165</v>
      </c>
      <c r="AY2" s="1" t="s">
        <v>165</v>
      </c>
      <c r="BA2" s="1" t="s">
        <v>165</v>
      </c>
      <c r="BC2" s="1" t="s">
        <v>165</v>
      </c>
      <c r="BD2" s="1" t="s">
        <v>165</v>
      </c>
      <c r="BE2" s="1" t="s">
        <v>165</v>
      </c>
      <c r="BF2" s="1" t="s">
        <v>165</v>
      </c>
      <c r="BG2" s="1" t="s">
        <v>165</v>
      </c>
      <c r="BH2" s="1" t="s">
        <v>165</v>
      </c>
      <c r="BI2" s="1" t="s">
        <v>165</v>
      </c>
      <c r="BJ2" s="1" t="s">
        <v>165</v>
      </c>
      <c r="BK2" s="1" t="s">
        <v>165</v>
      </c>
      <c r="BL2" s="1" t="s">
        <v>165</v>
      </c>
      <c r="BO2" s="1" t="s">
        <v>165</v>
      </c>
      <c r="BP2" s="1" t="s">
        <v>165</v>
      </c>
      <c r="BQ2" s="1" t="s">
        <v>165</v>
      </c>
      <c r="BR2" s="1" t="s">
        <v>165</v>
      </c>
      <c r="BS2" s="1" t="s">
        <v>165</v>
      </c>
      <c r="BT2" s="1" t="s">
        <v>165</v>
      </c>
      <c r="BU2" s="1" t="s">
        <v>165</v>
      </c>
      <c r="BV2" s="1" t="s">
        <v>165</v>
      </c>
      <c r="BW2" s="1" t="s">
        <v>165</v>
      </c>
      <c r="BX2" s="1" t="s">
        <v>165</v>
      </c>
      <c r="BY2" s="1" t="s">
        <v>165</v>
      </c>
      <c r="BZ2" s="1" t="s">
        <v>165</v>
      </c>
      <c r="CA2" s="1" t="s">
        <v>165</v>
      </c>
      <c r="CB2" s="1" t="s">
        <v>165</v>
      </c>
      <c r="CC2" s="1" t="s">
        <v>165</v>
      </c>
      <c r="CE2" s="1" t="s">
        <v>165</v>
      </c>
      <c r="CF2" s="1" t="s">
        <v>165</v>
      </c>
      <c r="CG2" s="1" t="s">
        <v>165</v>
      </c>
      <c r="CH2" s="1" t="s">
        <v>165</v>
      </c>
      <c r="CI2" s="1" t="s">
        <v>165</v>
      </c>
      <c r="CJ2" s="1" t="s">
        <v>165</v>
      </c>
      <c r="CM2" s="1" t="s">
        <v>165</v>
      </c>
      <c r="CN2" s="1" t="s">
        <v>165</v>
      </c>
      <c r="CO2" s="1" t="s">
        <v>165</v>
      </c>
      <c r="CP2" s="1" t="s">
        <v>165</v>
      </c>
      <c r="CQ2" s="1" t="s">
        <v>165</v>
      </c>
      <c r="CR2" s="1" t="s">
        <v>165</v>
      </c>
      <c r="CS2" s="1" t="s">
        <v>165</v>
      </c>
      <c r="CT2" s="1" t="s">
        <v>165</v>
      </c>
      <c r="CU2" s="1" t="s">
        <v>165</v>
      </c>
      <c r="CV2" s="1" t="s">
        <v>165</v>
      </c>
      <c r="CW2" s="1" t="s">
        <v>165</v>
      </c>
      <c r="CY2" s="1" t="s">
        <v>165</v>
      </c>
      <c r="DA2" s="1" t="s">
        <v>165</v>
      </c>
      <c r="DB2" s="1" t="s">
        <v>165</v>
      </c>
      <c r="DC2" s="1" t="s">
        <v>165</v>
      </c>
      <c r="DD2" s="1" t="s">
        <v>165</v>
      </c>
      <c r="DE2" s="1" t="s">
        <v>165</v>
      </c>
      <c r="DF2" s="1" t="s">
        <v>165</v>
      </c>
      <c r="DG2" s="1" t="s">
        <v>165</v>
      </c>
      <c r="DH2" s="1" t="s">
        <v>165</v>
      </c>
      <c r="DI2" s="1" t="s">
        <v>165</v>
      </c>
      <c r="DK2" s="1" t="s">
        <v>165</v>
      </c>
      <c r="DL2" s="1" t="s">
        <v>165</v>
      </c>
      <c r="DN2" s="1" t="s">
        <v>165</v>
      </c>
      <c r="DO2" s="1" t="s">
        <v>165</v>
      </c>
      <c r="DQ2" s="1" t="s">
        <v>165</v>
      </c>
      <c r="DR2" s="1" t="s">
        <v>165</v>
      </c>
      <c r="DS2" s="1" t="s">
        <v>165</v>
      </c>
      <c r="DT2" s="1" t="s">
        <v>165</v>
      </c>
      <c r="DU2" s="1" t="s">
        <v>165</v>
      </c>
      <c r="DV2" s="1" t="s">
        <v>165</v>
      </c>
      <c r="DW2" s="1" t="s">
        <v>165</v>
      </c>
      <c r="DX2" s="1" t="s">
        <v>165</v>
      </c>
      <c r="DY2" s="1" t="s">
        <v>165</v>
      </c>
      <c r="DZ2" s="1" t="s">
        <v>165</v>
      </c>
      <c r="EC2" s="1" t="s">
        <v>165</v>
      </c>
      <c r="ED2" s="1" t="s">
        <v>165</v>
      </c>
      <c r="EF2" s="1" t="s">
        <v>165</v>
      </c>
      <c r="EH2" s="1" t="s">
        <v>165</v>
      </c>
      <c r="EJ2" s="1" t="s">
        <v>165</v>
      </c>
      <c r="EM2" s="1" t="s">
        <v>165</v>
      </c>
      <c r="EP2" s="1" t="s">
        <v>165</v>
      </c>
      <c r="EQ2" s="1" t="s">
        <v>165</v>
      </c>
      <c r="ER2" s="1" t="s">
        <v>512</v>
      </c>
      <c r="ES2" s="1" t="s">
        <v>165</v>
      </c>
      <c r="ET2" s="1" t="s">
        <v>165</v>
      </c>
      <c r="EU2" s="1" t="s">
        <v>165</v>
      </c>
      <c r="EV2" s="1" t="s">
        <v>165</v>
      </c>
    </row>
    <row r="3" spans="1:152">
      <c r="F3" s="13"/>
      <c r="G3" s="13" t="s">
        <v>1101</v>
      </c>
      <c r="H3" s="1" t="s">
        <v>250</v>
      </c>
      <c r="I3" s="1" t="s">
        <v>222</v>
      </c>
      <c r="J3" s="1" t="s">
        <v>243</v>
      </c>
      <c r="K3" s="1" t="s">
        <v>256</v>
      </c>
      <c r="L3" s="1" t="s">
        <v>256</v>
      </c>
      <c r="M3" s="1" t="s">
        <v>256</v>
      </c>
      <c r="O3" s="1" t="s">
        <v>218</v>
      </c>
      <c r="Q3" s="1" t="s">
        <v>250</v>
      </c>
      <c r="T3" s="1" t="s">
        <v>250</v>
      </c>
      <c r="U3" s="1" t="s">
        <v>250</v>
      </c>
      <c r="Y3" s="1" t="s">
        <v>256</v>
      </c>
      <c r="Z3" s="1" t="s">
        <v>243</v>
      </c>
      <c r="AC3" s="1" t="s">
        <v>250</v>
      </c>
      <c r="AE3" s="1" t="s">
        <v>243</v>
      </c>
      <c r="AF3" s="1" t="s">
        <v>243</v>
      </c>
      <c r="AK3" s="1" t="s">
        <v>256</v>
      </c>
      <c r="AM3" s="1" t="s">
        <v>243</v>
      </c>
      <c r="AO3" s="1" t="s">
        <v>250</v>
      </c>
      <c r="AP3" s="1" t="s">
        <v>256</v>
      </c>
      <c r="AQ3" s="1" t="s">
        <v>243</v>
      </c>
      <c r="AS3" s="1" t="s">
        <v>256</v>
      </c>
      <c r="AU3" s="1" t="s">
        <v>243</v>
      </c>
      <c r="AX3" s="1" t="s">
        <v>256</v>
      </c>
      <c r="AY3" s="1" t="s">
        <v>243</v>
      </c>
      <c r="BH3" s="1" t="s">
        <v>243</v>
      </c>
      <c r="BK3" s="1" t="s">
        <v>256</v>
      </c>
      <c r="BP3" s="1" t="s">
        <v>256</v>
      </c>
      <c r="BQ3" s="1" t="s">
        <v>243</v>
      </c>
      <c r="BV3" s="1" t="s">
        <v>243</v>
      </c>
      <c r="BX3" s="1" t="s">
        <v>254</v>
      </c>
      <c r="CG3" s="1" t="s">
        <v>256</v>
      </c>
      <c r="CQ3" s="1" t="s">
        <v>250</v>
      </c>
      <c r="CW3" s="1" t="s">
        <v>243</v>
      </c>
      <c r="DE3" s="1" t="s">
        <v>256</v>
      </c>
      <c r="DI3" s="1" t="s">
        <v>243</v>
      </c>
      <c r="DR3" s="1" t="s">
        <v>256</v>
      </c>
      <c r="DU3" s="1" t="s">
        <v>218</v>
      </c>
      <c r="DZ3" s="1" t="s">
        <v>256</v>
      </c>
      <c r="EH3" s="1" t="s">
        <v>222</v>
      </c>
    </row>
    <row r="4" spans="1:152">
      <c r="A4" s="13" t="s">
        <v>3037</v>
      </c>
      <c r="F4" s="13"/>
      <c r="G4" s="13" t="s">
        <v>1100</v>
      </c>
      <c r="H4" s="1" t="s">
        <v>1099</v>
      </c>
      <c r="I4" s="1" t="s">
        <v>1098</v>
      </c>
      <c r="J4" s="1" t="s">
        <v>1097</v>
      </c>
      <c r="K4" s="1" t="s">
        <v>1096</v>
      </c>
      <c r="L4" s="1" t="s">
        <v>1095</v>
      </c>
      <c r="M4" s="1" t="s">
        <v>1094</v>
      </c>
      <c r="N4" s="1" t="s">
        <v>1093</v>
      </c>
      <c r="O4" s="1" t="s">
        <v>1092</v>
      </c>
      <c r="P4" s="1" t="s">
        <v>1091</v>
      </c>
      <c r="Q4" s="1" t="s">
        <v>1090</v>
      </c>
      <c r="R4" s="1" t="s">
        <v>1089</v>
      </c>
      <c r="S4" s="1" t="s">
        <v>1088</v>
      </c>
      <c r="T4" s="1" t="s">
        <v>1087</v>
      </c>
      <c r="U4" s="1" t="s">
        <v>1086</v>
      </c>
      <c r="V4" s="1" t="s">
        <v>1085</v>
      </c>
      <c r="W4" s="1" t="s">
        <v>1084</v>
      </c>
      <c r="X4" s="1" t="s">
        <v>1083</v>
      </c>
      <c r="Y4" s="1" t="s">
        <v>1082</v>
      </c>
      <c r="Z4" s="1" t="s">
        <v>1081</v>
      </c>
      <c r="AA4" s="1" t="s">
        <v>1080</v>
      </c>
      <c r="AB4" s="1" t="s">
        <v>1079</v>
      </c>
      <c r="AC4" s="1" t="s">
        <v>1078</v>
      </c>
      <c r="AD4" s="1" t="s">
        <v>1077</v>
      </c>
      <c r="AE4" s="1" t="s">
        <v>1076</v>
      </c>
      <c r="AF4" s="1" t="s">
        <v>1075</v>
      </c>
      <c r="AG4" s="1" t="s">
        <v>1074</v>
      </c>
      <c r="AH4" s="1" t="s">
        <v>1073</v>
      </c>
      <c r="AI4" s="1" t="s">
        <v>1072</v>
      </c>
      <c r="AJ4" s="1" t="s">
        <v>1071</v>
      </c>
      <c r="AK4" s="1" t="s">
        <v>1070</v>
      </c>
      <c r="AL4" s="1" t="s">
        <v>1069</v>
      </c>
      <c r="AM4" s="1" t="s">
        <v>1068</v>
      </c>
      <c r="AN4" s="1" t="s">
        <v>1067</v>
      </c>
      <c r="AO4" s="1" t="s">
        <v>1066</v>
      </c>
      <c r="AP4" s="1" t="s">
        <v>1065</v>
      </c>
      <c r="AQ4" s="1" t="s">
        <v>1064</v>
      </c>
      <c r="AR4" s="1" t="s">
        <v>1063</v>
      </c>
      <c r="AS4" s="1" t="s">
        <v>1062</v>
      </c>
      <c r="AT4" s="1" t="s">
        <v>1061</v>
      </c>
      <c r="AU4" s="1" t="s">
        <v>1060</v>
      </c>
      <c r="AV4" s="1" t="s">
        <v>1059</v>
      </c>
      <c r="AW4" s="1" t="s">
        <v>1058</v>
      </c>
      <c r="AX4" s="1" t="s">
        <v>1057</v>
      </c>
      <c r="AY4" s="1" t="s">
        <v>1056</v>
      </c>
      <c r="AZ4" s="1" t="s">
        <v>1055</v>
      </c>
      <c r="BA4" s="1" t="s">
        <v>1054</v>
      </c>
      <c r="BB4" s="1" t="s">
        <v>1053</v>
      </c>
      <c r="BC4" s="1" t="s">
        <v>1052</v>
      </c>
      <c r="BD4" s="1" t="s">
        <v>1051</v>
      </c>
      <c r="BE4" s="1" t="s">
        <v>1050</v>
      </c>
      <c r="BF4" s="1" t="s">
        <v>1049</v>
      </c>
      <c r="BG4" s="1" t="s">
        <v>1048</v>
      </c>
      <c r="BH4" s="1" t="s">
        <v>1047</v>
      </c>
      <c r="BI4" s="1" t="s">
        <v>1046</v>
      </c>
      <c r="BJ4" s="1" t="s">
        <v>1045</v>
      </c>
      <c r="BK4" s="1" t="s">
        <v>1044</v>
      </c>
      <c r="BL4" s="1" t="s">
        <v>1043</v>
      </c>
      <c r="BM4" s="1" t="s">
        <v>1042</v>
      </c>
      <c r="BN4" s="1" t="s">
        <v>1041</v>
      </c>
      <c r="BO4" s="1" t="s">
        <v>1040</v>
      </c>
      <c r="BP4" s="1" t="s">
        <v>1039</v>
      </c>
      <c r="BQ4" s="1" t="s">
        <v>1038</v>
      </c>
      <c r="BR4" s="1" t="s">
        <v>1037</v>
      </c>
      <c r="BS4" s="1" t="s">
        <v>1036</v>
      </c>
      <c r="BT4" s="1" t="s">
        <v>1035</v>
      </c>
      <c r="BU4" s="1" t="s">
        <v>1034</v>
      </c>
      <c r="BV4" s="1" t="s">
        <v>1033</v>
      </c>
      <c r="BW4" s="1" t="s">
        <v>1032</v>
      </c>
      <c r="BX4" s="1" t="s">
        <v>1031</v>
      </c>
      <c r="BY4" s="1" t="s">
        <v>1030</v>
      </c>
      <c r="BZ4" s="1" t="s">
        <v>1029</v>
      </c>
      <c r="CA4" s="1" t="s">
        <v>1028</v>
      </c>
      <c r="CB4" s="1" t="s">
        <v>1027</v>
      </c>
      <c r="CC4" s="1" t="s">
        <v>1026</v>
      </c>
      <c r="CD4" s="1" t="s">
        <v>1025</v>
      </c>
      <c r="CE4" s="1" t="s">
        <v>1024</v>
      </c>
      <c r="CF4" s="1" t="s">
        <v>1023</v>
      </c>
      <c r="CG4" s="1" t="s">
        <v>1022</v>
      </c>
      <c r="CH4" s="1" t="s">
        <v>1021</v>
      </c>
      <c r="CI4" s="1" t="s">
        <v>1020</v>
      </c>
      <c r="CJ4" s="1" t="s">
        <v>1019</v>
      </c>
      <c r="CK4" s="1" t="s">
        <v>1018</v>
      </c>
      <c r="CL4" s="1" t="s">
        <v>1017</v>
      </c>
      <c r="CM4" s="1" t="s">
        <v>1016</v>
      </c>
      <c r="CN4" s="1" t="s">
        <v>1015</v>
      </c>
      <c r="CO4" s="1" t="s">
        <v>1014</v>
      </c>
      <c r="CP4" s="1" t="s">
        <v>1013</v>
      </c>
      <c r="CQ4" s="1" t="s">
        <v>1012</v>
      </c>
      <c r="CR4" s="1" t="s">
        <v>1011</v>
      </c>
      <c r="CS4" s="1" t="s">
        <v>1010</v>
      </c>
      <c r="CT4" s="1" t="s">
        <v>1009</v>
      </c>
      <c r="CU4" s="1" t="s">
        <v>1008</v>
      </c>
      <c r="CV4" s="1" t="s">
        <v>1007</v>
      </c>
      <c r="CW4" s="1" t="s">
        <v>1006</v>
      </c>
      <c r="CX4" s="1" t="s">
        <v>1005</v>
      </c>
      <c r="CY4" s="1" t="s">
        <v>1004</v>
      </c>
      <c r="CZ4" s="1" t="s">
        <v>1003</v>
      </c>
      <c r="DA4" s="1" t="s">
        <v>1002</v>
      </c>
      <c r="DB4" s="1" t="s">
        <v>1001</v>
      </c>
      <c r="DC4" s="1" t="s">
        <v>1000</v>
      </c>
      <c r="DD4" s="1" t="s">
        <v>999</v>
      </c>
      <c r="DE4" s="1" t="s">
        <v>998</v>
      </c>
      <c r="DF4" s="1" t="s">
        <v>997</v>
      </c>
      <c r="DG4" s="1" t="s">
        <v>996</v>
      </c>
      <c r="DH4" s="1" t="s">
        <v>995</v>
      </c>
      <c r="DI4" s="1" t="s">
        <v>994</v>
      </c>
      <c r="DJ4" s="1" t="s">
        <v>993</v>
      </c>
      <c r="DK4" s="1" t="s">
        <v>992</v>
      </c>
      <c r="DL4" s="1" t="s">
        <v>991</v>
      </c>
      <c r="DM4" s="1" t="s">
        <v>990</v>
      </c>
      <c r="DN4" s="1" t="s">
        <v>989</v>
      </c>
      <c r="DO4" s="1" t="s">
        <v>988</v>
      </c>
      <c r="DP4" s="1" t="s">
        <v>987</v>
      </c>
      <c r="DQ4" s="1" t="s">
        <v>986</v>
      </c>
      <c r="DR4" s="1" t="s">
        <v>985</v>
      </c>
      <c r="DS4" s="1" t="s">
        <v>984</v>
      </c>
      <c r="DT4" s="1" t="s">
        <v>983</v>
      </c>
      <c r="DU4" s="1" t="s">
        <v>982</v>
      </c>
      <c r="DV4" s="1" t="s">
        <v>981</v>
      </c>
      <c r="DW4" s="1" t="s">
        <v>980</v>
      </c>
      <c r="DX4" s="1" t="s">
        <v>979</v>
      </c>
      <c r="DY4" s="1" t="s">
        <v>978</v>
      </c>
      <c r="DZ4" s="1" t="s">
        <v>977</v>
      </c>
      <c r="EA4" s="1" t="s">
        <v>976</v>
      </c>
      <c r="EB4" s="1" t="s">
        <v>975</v>
      </c>
      <c r="EC4" s="1" t="s">
        <v>974</v>
      </c>
      <c r="ED4" s="1" t="s">
        <v>973</v>
      </c>
      <c r="EE4" s="1" t="s">
        <v>972</v>
      </c>
      <c r="EF4" s="1" t="s">
        <v>971</v>
      </c>
      <c r="EG4" s="1" t="s">
        <v>970</v>
      </c>
      <c r="EH4" s="1" t="s">
        <v>969</v>
      </c>
      <c r="EI4" s="1" t="s">
        <v>968</v>
      </c>
      <c r="EJ4" s="1" t="s">
        <v>967</v>
      </c>
      <c r="EK4" s="1" t="s">
        <v>966</v>
      </c>
      <c r="EL4" s="1" t="s">
        <v>965</v>
      </c>
      <c r="EM4" s="1" t="s">
        <v>964</v>
      </c>
      <c r="EN4" s="1" t="s">
        <v>963</v>
      </c>
      <c r="EO4" s="1" t="s">
        <v>962</v>
      </c>
      <c r="EP4" s="1" t="s">
        <v>961</v>
      </c>
      <c r="EQ4" s="1" t="s">
        <v>960</v>
      </c>
      <c r="ER4" s="1" t="s">
        <v>959</v>
      </c>
      <c r="ES4" s="1" t="s">
        <v>958</v>
      </c>
      <c r="ET4" s="1" t="s">
        <v>957</v>
      </c>
      <c r="EU4" s="1" t="s">
        <v>956</v>
      </c>
      <c r="EV4" s="1" t="s">
        <v>955</v>
      </c>
    </row>
    <row r="5" spans="1:152" s="60" customFormat="1">
      <c r="A5" s="60" t="s">
        <v>954</v>
      </c>
      <c r="B5" s="60" t="s">
        <v>953</v>
      </c>
      <c r="C5" s="60" t="s">
        <v>952</v>
      </c>
      <c r="D5" s="60" t="s">
        <v>951</v>
      </c>
      <c r="E5" s="60" t="s">
        <v>950</v>
      </c>
      <c r="F5" s="60" t="s">
        <v>949</v>
      </c>
      <c r="G5" s="60" t="s">
        <v>948</v>
      </c>
      <c r="H5" s="60" t="s">
        <v>947</v>
      </c>
      <c r="I5" s="60" t="s">
        <v>946</v>
      </c>
      <c r="J5" s="60" t="s">
        <v>945</v>
      </c>
      <c r="K5" s="60" t="s">
        <v>944</v>
      </c>
      <c r="L5" s="60" t="s">
        <v>943</v>
      </c>
      <c r="M5" s="60" t="s">
        <v>942</v>
      </c>
      <c r="N5" s="60" t="s">
        <v>941</v>
      </c>
      <c r="O5" s="60" t="s">
        <v>940</v>
      </c>
      <c r="P5" s="60" t="s">
        <v>939</v>
      </c>
      <c r="Q5" s="60" t="s">
        <v>938</v>
      </c>
      <c r="R5" s="60" t="s">
        <v>937</v>
      </c>
      <c r="S5" s="60" t="s">
        <v>936</v>
      </c>
      <c r="T5" s="60" t="s">
        <v>935</v>
      </c>
      <c r="U5" s="60" t="s">
        <v>934</v>
      </c>
      <c r="V5" s="60" t="s">
        <v>933</v>
      </c>
      <c r="W5" s="60" t="s">
        <v>932</v>
      </c>
      <c r="X5" s="60" t="s">
        <v>931</v>
      </c>
      <c r="Y5" s="60" t="s">
        <v>930</v>
      </c>
      <c r="Z5" s="60" t="s">
        <v>929</v>
      </c>
      <c r="AA5" s="60" t="s">
        <v>928</v>
      </c>
      <c r="AB5" s="60" t="s">
        <v>927</v>
      </c>
      <c r="AC5" s="60" t="s">
        <v>926</v>
      </c>
      <c r="AD5" s="60" t="s">
        <v>925</v>
      </c>
      <c r="AE5" s="60" t="s">
        <v>924</v>
      </c>
      <c r="AF5" s="60" t="s">
        <v>923</v>
      </c>
      <c r="AG5" s="60" t="s">
        <v>922</v>
      </c>
      <c r="AH5" s="60" t="s">
        <v>921</v>
      </c>
      <c r="AI5" s="60" t="s">
        <v>920</v>
      </c>
      <c r="AJ5" s="60" t="s">
        <v>919</v>
      </c>
      <c r="AK5" s="60" t="s">
        <v>918</v>
      </c>
      <c r="AL5" s="60" t="s">
        <v>917</v>
      </c>
      <c r="AM5" s="60" t="s">
        <v>916</v>
      </c>
      <c r="AN5" s="60" t="s">
        <v>915</v>
      </c>
      <c r="AO5" s="60" t="s">
        <v>914</v>
      </c>
      <c r="AP5" s="60" t="s">
        <v>913</v>
      </c>
      <c r="AQ5" s="60" t="s">
        <v>912</v>
      </c>
      <c r="AR5" s="60" t="s">
        <v>911</v>
      </c>
      <c r="AS5" s="60" t="s">
        <v>910</v>
      </c>
      <c r="AT5" s="60" t="s">
        <v>909</v>
      </c>
      <c r="AU5" s="60" t="s">
        <v>908</v>
      </c>
      <c r="AV5" s="60" t="s">
        <v>907</v>
      </c>
      <c r="AW5" s="60" t="s">
        <v>906</v>
      </c>
      <c r="AX5" s="60" t="s">
        <v>905</v>
      </c>
      <c r="AY5" s="60" t="s">
        <v>904</v>
      </c>
      <c r="AZ5" s="60" t="s">
        <v>903</v>
      </c>
      <c r="BA5" s="60" t="s">
        <v>902</v>
      </c>
      <c r="BB5" s="60" t="s">
        <v>901</v>
      </c>
      <c r="BC5" s="60" t="s">
        <v>900</v>
      </c>
      <c r="BD5" s="60" t="s">
        <v>899</v>
      </c>
      <c r="BE5" s="60" t="s">
        <v>898</v>
      </c>
      <c r="BF5" s="60" t="s">
        <v>897</v>
      </c>
      <c r="BG5" s="60" t="s">
        <v>896</v>
      </c>
      <c r="BH5" s="60" t="s">
        <v>895</v>
      </c>
      <c r="BI5" s="60" t="s">
        <v>894</v>
      </c>
      <c r="BJ5" s="60" t="s">
        <v>893</v>
      </c>
      <c r="BK5" s="60" t="s">
        <v>892</v>
      </c>
      <c r="BL5" s="60" t="s">
        <v>891</v>
      </c>
      <c r="BM5" s="60" t="s">
        <v>890</v>
      </c>
      <c r="BN5" s="60" t="s">
        <v>889</v>
      </c>
      <c r="BO5" s="60" t="s">
        <v>888</v>
      </c>
      <c r="BP5" s="60" t="s">
        <v>887</v>
      </c>
      <c r="BQ5" s="60" t="s">
        <v>886</v>
      </c>
      <c r="BR5" s="60" t="s">
        <v>885</v>
      </c>
      <c r="BS5" s="60" t="s">
        <v>884</v>
      </c>
      <c r="BT5" s="60" t="s">
        <v>883</v>
      </c>
      <c r="BU5" s="60" t="s">
        <v>882</v>
      </c>
      <c r="BV5" s="60" t="s">
        <v>881</v>
      </c>
      <c r="BW5" s="60" t="s">
        <v>880</v>
      </c>
      <c r="BX5" s="60" t="s">
        <v>879</v>
      </c>
      <c r="BY5" s="60" t="s">
        <v>878</v>
      </c>
      <c r="BZ5" s="60" t="s">
        <v>877</v>
      </c>
      <c r="CA5" s="60" t="s">
        <v>876</v>
      </c>
      <c r="CB5" s="60" t="s">
        <v>875</v>
      </c>
      <c r="CC5" s="60" t="s">
        <v>874</v>
      </c>
      <c r="CD5" s="60" t="s">
        <v>873</v>
      </c>
      <c r="CE5" s="60" t="s">
        <v>872</v>
      </c>
      <c r="CF5" s="60" t="s">
        <v>871</v>
      </c>
      <c r="CG5" s="60" t="s">
        <v>870</v>
      </c>
      <c r="CH5" s="60" t="s">
        <v>869</v>
      </c>
      <c r="CI5" s="60" t="s">
        <v>868</v>
      </c>
      <c r="CJ5" s="60" t="s">
        <v>867</v>
      </c>
      <c r="CK5" s="60" t="s">
        <v>866</v>
      </c>
      <c r="CL5" s="60" t="s">
        <v>865</v>
      </c>
      <c r="CM5" s="60" t="s">
        <v>864</v>
      </c>
      <c r="CN5" s="60" t="s">
        <v>863</v>
      </c>
      <c r="CO5" s="60" t="s">
        <v>862</v>
      </c>
      <c r="CP5" s="60" t="s">
        <v>861</v>
      </c>
      <c r="CQ5" s="60" t="s">
        <v>860</v>
      </c>
      <c r="CR5" s="60" t="s">
        <v>859</v>
      </c>
      <c r="CS5" s="60" t="s">
        <v>858</v>
      </c>
      <c r="CT5" s="60" t="s">
        <v>857</v>
      </c>
      <c r="CU5" s="60" t="s">
        <v>856</v>
      </c>
      <c r="CV5" s="60" t="s">
        <v>855</v>
      </c>
      <c r="CW5" s="60" t="s">
        <v>854</v>
      </c>
      <c r="CX5" s="60" t="s">
        <v>853</v>
      </c>
      <c r="CY5" s="60" t="s">
        <v>852</v>
      </c>
      <c r="CZ5" s="60" t="s">
        <v>851</v>
      </c>
      <c r="DA5" s="60" t="s">
        <v>850</v>
      </c>
      <c r="DB5" s="60" t="s">
        <v>849</v>
      </c>
      <c r="DC5" s="60" t="s">
        <v>848</v>
      </c>
      <c r="DD5" s="60" t="s">
        <v>847</v>
      </c>
      <c r="DE5" s="60" t="s">
        <v>846</v>
      </c>
      <c r="DF5" s="60" t="s">
        <v>845</v>
      </c>
      <c r="DG5" s="60" t="s">
        <v>844</v>
      </c>
      <c r="DH5" s="60" t="s">
        <v>843</v>
      </c>
      <c r="DI5" s="60" t="s">
        <v>842</v>
      </c>
      <c r="DJ5" s="60" t="s">
        <v>841</v>
      </c>
      <c r="DK5" s="60" t="s">
        <v>840</v>
      </c>
      <c r="DL5" s="60" t="s">
        <v>839</v>
      </c>
      <c r="DM5" s="60" t="s">
        <v>838</v>
      </c>
      <c r="DN5" s="60" t="s">
        <v>837</v>
      </c>
      <c r="DO5" s="60" t="s">
        <v>836</v>
      </c>
      <c r="DP5" s="60" t="s">
        <v>835</v>
      </c>
      <c r="DQ5" s="60" t="s">
        <v>834</v>
      </c>
      <c r="DR5" s="60" t="s">
        <v>833</v>
      </c>
      <c r="DS5" s="60" t="s">
        <v>832</v>
      </c>
      <c r="DT5" s="60" t="s">
        <v>831</v>
      </c>
      <c r="DU5" s="60" t="s">
        <v>830</v>
      </c>
      <c r="DV5" s="60" t="s">
        <v>829</v>
      </c>
      <c r="DW5" s="60" t="s">
        <v>828</v>
      </c>
      <c r="DX5" s="60" t="s">
        <v>827</v>
      </c>
      <c r="DY5" s="60" t="s">
        <v>826</v>
      </c>
      <c r="DZ5" s="60" t="s">
        <v>825</v>
      </c>
      <c r="EA5" s="60" t="s">
        <v>824</v>
      </c>
      <c r="EB5" s="60" t="s">
        <v>823</v>
      </c>
      <c r="EC5" s="60" t="s">
        <v>822</v>
      </c>
      <c r="ED5" s="60" t="s">
        <v>821</v>
      </c>
      <c r="EE5" s="60" t="s">
        <v>820</v>
      </c>
      <c r="EF5" s="60" t="s">
        <v>819</v>
      </c>
      <c r="EG5" s="60" t="s">
        <v>818</v>
      </c>
      <c r="EH5" s="60" t="s">
        <v>817</v>
      </c>
      <c r="EI5" s="60" t="s">
        <v>816</v>
      </c>
      <c r="EJ5" s="60" t="s">
        <v>815</v>
      </c>
      <c r="EK5" s="60" t="s">
        <v>814</v>
      </c>
      <c r="EL5" s="60" t="s">
        <v>813</v>
      </c>
      <c r="EM5" s="60" t="s">
        <v>812</v>
      </c>
      <c r="EN5" s="60" t="s">
        <v>811</v>
      </c>
      <c r="EO5" s="60" t="s">
        <v>810</v>
      </c>
      <c r="EP5" s="60" t="s">
        <v>809</v>
      </c>
      <c r="EQ5" s="60" t="s">
        <v>808</v>
      </c>
      <c r="ER5" s="60" t="s">
        <v>807</v>
      </c>
      <c r="ES5" s="60" t="s">
        <v>806</v>
      </c>
      <c r="ET5" s="60" t="s">
        <v>805</v>
      </c>
      <c r="EU5" s="60" t="s">
        <v>804</v>
      </c>
      <c r="EV5" s="60" t="s">
        <v>803</v>
      </c>
    </row>
    <row r="6" spans="1:152">
      <c r="A6" s="1" t="s">
        <v>674</v>
      </c>
      <c r="B6" s="1" t="s">
        <v>802</v>
      </c>
      <c r="C6" s="1" t="s">
        <v>788</v>
      </c>
      <c r="D6" s="1" t="s">
        <v>685</v>
      </c>
      <c r="E6" s="1" t="s">
        <v>685</v>
      </c>
      <c r="F6" s="1" t="s">
        <v>3028</v>
      </c>
      <c r="G6" s="77">
        <f t="shared" ref="G6:G21" si="0">SUM(H6:EV6)</f>
        <v>63137</v>
      </c>
      <c r="H6" s="66">
        <v>477</v>
      </c>
      <c r="I6" s="66">
        <v>35505</v>
      </c>
      <c r="J6" s="66">
        <v>0</v>
      </c>
      <c r="K6" s="66">
        <v>14178</v>
      </c>
      <c r="L6" s="66">
        <v>8788</v>
      </c>
      <c r="M6" s="66">
        <v>51</v>
      </c>
      <c r="N6" s="66">
        <v>1914</v>
      </c>
      <c r="O6" s="66">
        <v>0</v>
      </c>
      <c r="P6" s="66">
        <v>0</v>
      </c>
      <c r="Q6" s="66">
        <v>141</v>
      </c>
      <c r="R6" s="66">
        <v>126</v>
      </c>
      <c r="S6" s="66">
        <v>258</v>
      </c>
      <c r="T6" s="66">
        <v>67</v>
      </c>
      <c r="U6" s="66">
        <v>36</v>
      </c>
      <c r="V6" s="66">
        <v>648</v>
      </c>
      <c r="W6" s="66">
        <v>27</v>
      </c>
      <c r="X6" s="66">
        <v>0</v>
      </c>
      <c r="Y6" s="66">
        <v>108</v>
      </c>
      <c r="Z6" s="66">
        <v>0</v>
      </c>
      <c r="AA6" s="66">
        <v>68</v>
      </c>
      <c r="AB6" s="66">
        <v>218</v>
      </c>
      <c r="AC6" s="66">
        <v>6</v>
      </c>
      <c r="AD6" s="66">
        <v>44</v>
      </c>
      <c r="AE6" s="66">
        <v>0</v>
      </c>
      <c r="AF6" s="66">
        <v>65</v>
      </c>
      <c r="AG6" s="66">
        <v>0</v>
      </c>
      <c r="AH6" s="66">
        <v>1</v>
      </c>
      <c r="AI6" s="66">
        <v>4</v>
      </c>
      <c r="AJ6" s="66">
        <v>10</v>
      </c>
      <c r="AK6" s="66">
        <v>20</v>
      </c>
      <c r="AL6" s="66">
        <v>0</v>
      </c>
      <c r="AM6" s="66">
        <v>0</v>
      </c>
      <c r="AN6" s="66">
        <v>24</v>
      </c>
      <c r="AO6" s="66">
        <v>0</v>
      </c>
      <c r="AP6" s="66">
        <v>72</v>
      </c>
      <c r="AQ6" s="66">
        <v>0</v>
      </c>
      <c r="AR6" s="66">
        <v>0</v>
      </c>
      <c r="AS6" s="66">
        <v>20</v>
      </c>
      <c r="AT6" s="66">
        <v>0</v>
      </c>
      <c r="AU6" s="66">
        <v>0</v>
      </c>
      <c r="AV6" s="66">
        <v>38</v>
      </c>
      <c r="AW6" s="66">
        <v>0</v>
      </c>
      <c r="AX6" s="66">
        <v>0</v>
      </c>
      <c r="AY6" s="66">
        <v>0</v>
      </c>
      <c r="AZ6" s="66">
        <v>2</v>
      </c>
      <c r="BA6" s="66">
        <v>0</v>
      </c>
      <c r="BB6" s="66">
        <v>13</v>
      </c>
      <c r="BC6" s="66">
        <v>0</v>
      </c>
      <c r="BD6" s="66">
        <v>0</v>
      </c>
      <c r="BE6" s="66">
        <v>0</v>
      </c>
      <c r="BF6" s="66">
        <v>0</v>
      </c>
      <c r="BG6" s="66">
        <v>13</v>
      </c>
      <c r="BH6" s="66">
        <v>0</v>
      </c>
      <c r="BI6" s="66">
        <v>23</v>
      </c>
      <c r="BJ6" s="66">
        <v>0</v>
      </c>
      <c r="BK6" s="66">
        <v>0</v>
      </c>
      <c r="BL6" s="66">
        <v>0</v>
      </c>
      <c r="BM6" s="66">
        <v>0</v>
      </c>
      <c r="BN6" s="66">
        <v>0</v>
      </c>
      <c r="BO6" s="66">
        <v>3</v>
      </c>
      <c r="BP6" s="66">
        <v>0</v>
      </c>
      <c r="BQ6" s="66">
        <v>0</v>
      </c>
      <c r="BR6" s="66">
        <v>0</v>
      </c>
      <c r="BS6" s="66">
        <v>2</v>
      </c>
      <c r="BT6" s="66">
        <v>0</v>
      </c>
      <c r="BU6" s="66">
        <v>0</v>
      </c>
      <c r="BV6" s="66">
        <v>0</v>
      </c>
      <c r="BW6" s="66">
        <v>10</v>
      </c>
      <c r="BX6" s="66">
        <v>1</v>
      </c>
      <c r="BY6" s="66">
        <v>0</v>
      </c>
      <c r="BZ6" s="66">
        <v>5</v>
      </c>
      <c r="CA6" s="66">
        <v>0</v>
      </c>
      <c r="CB6" s="66">
        <v>0</v>
      </c>
      <c r="CC6" s="66">
        <v>0</v>
      </c>
      <c r="CD6" s="66">
        <v>6</v>
      </c>
      <c r="CE6" s="66">
        <v>0</v>
      </c>
      <c r="CF6" s="66">
        <v>0</v>
      </c>
      <c r="CG6" s="66">
        <v>31</v>
      </c>
      <c r="CH6" s="66">
        <v>11</v>
      </c>
      <c r="CI6" s="66">
        <v>5</v>
      </c>
      <c r="CJ6" s="66">
        <v>13</v>
      </c>
      <c r="CK6" s="66">
        <v>4</v>
      </c>
      <c r="CL6" s="66">
        <v>0</v>
      </c>
      <c r="CM6" s="66">
        <v>0</v>
      </c>
      <c r="CN6" s="66">
        <v>14</v>
      </c>
      <c r="CO6" s="66">
        <v>0</v>
      </c>
      <c r="CP6" s="66">
        <v>0</v>
      </c>
      <c r="CQ6" s="66">
        <v>0</v>
      </c>
      <c r="CR6" s="66">
        <v>0</v>
      </c>
      <c r="CS6" s="66">
        <v>0</v>
      </c>
      <c r="CT6" s="66">
        <v>0</v>
      </c>
      <c r="CU6" s="66">
        <v>0</v>
      </c>
      <c r="CV6" s="66">
        <v>8</v>
      </c>
      <c r="CW6" s="66">
        <v>0</v>
      </c>
      <c r="CX6" s="66">
        <v>12</v>
      </c>
      <c r="CY6" s="66">
        <v>5</v>
      </c>
      <c r="CZ6" s="66">
        <v>1</v>
      </c>
      <c r="DA6" s="66">
        <v>3</v>
      </c>
      <c r="DB6" s="66">
        <v>0</v>
      </c>
      <c r="DC6" s="66">
        <v>3</v>
      </c>
      <c r="DD6" s="66">
        <v>0</v>
      </c>
      <c r="DE6" s="66">
        <v>0</v>
      </c>
      <c r="DF6" s="66">
        <v>0</v>
      </c>
      <c r="DG6" s="66">
        <v>0</v>
      </c>
      <c r="DH6" s="66">
        <v>0</v>
      </c>
      <c r="DI6" s="66">
        <v>0</v>
      </c>
      <c r="DJ6" s="66">
        <v>7</v>
      </c>
      <c r="DK6" s="66">
        <v>6</v>
      </c>
      <c r="DL6" s="66">
        <v>4</v>
      </c>
      <c r="DM6" s="66">
        <v>1</v>
      </c>
      <c r="DN6" s="66">
        <v>0</v>
      </c>
      <c r="DO6" s="66">
        <v>1</v>
      </c>
      <c r="DP6" s="66">
        <v>4</v>
      </c>
      <c r="DQ6" s="66">
        <v>0</v>
      </c>
      <c r="DR6" s="66">
        <v>2</v>
      </c>
      <c r="DS6" s="66">
        <v>1</v>
      </c>
      <c r="DT6" s="66">
        <v>1</v>
      </c>
      <c r="DU6" s="66">
        <v>0</v>
      </c>
      <c r="DV6" s="66">
        <v>2</v>
      </c>
      <c r="DW6" s="66">
        <v>0</v>
      </c>
      <c r="DX6" s="66">
        <v>0</v>
      </c>
      <c r="DY6" s="66">
        <v>0</v>
      </c>
      <c r="DZ6" s="66">
        <v>5</v>
      </c>
      <c r="EA6" s="66">
        <v>0</v>
      </c>
      <c r="EB6" s="66">
        <v>0</v>
      </c>
      <c r="EC6" s="66">
        <v>0</v>
      </c>
      <c r="ED6" s="66">
        <v>0</v>
      </c>
      <c r="EE6" s="66">
        <v>0</v>
      </c>
      <c r="EF6" s="66">
        <v>0</v>
      </c>
      <c r="EG6" s="66">
        <v>0</v>
      </c>
      <c r="EH6" s="66">
        <v>0</v>
      </c>
      <c r="EI6" s="66">
        <v>0</v>
      </c>
      <c r="EJ6" s="66">
        <v>0</v>
      </c>
      <c r="EK6" s="66">
        <v>0</v>
      </c>
      <c r="EL6" s="66">
        <v>0</v>
      </c>
      <c r="EM6" s="66">
        <v>0</v>
      </c>
      <c r="EN6" s="66">
        <v>0</v>
      </c>
      <c r="EO6" s="66">
        <v>0</v>
      </c>
      <c r="EP6" s="66">
        <v>0</v>
      </c>
      <c r="EQ6" s="66">
        <v>0</v>
      </c>
      <c r="ER6" s="66">
        <v>0</v>
      </c>
      <c r="ES6" s="66">
        <v>0</v>
      </c>
      <c r="ET6" s="66">
        <v>0</v>
      </c>
      <c r="EU6" s="66">
        <v>0</v>
      </c>
      <c r="EV6" s="66">
        <v>1</v>
      </c>
    </row>
    <row r="7" spans="1:152">
      <c r="A7" s="1" t="s">
        <v>673</v>
      </c>
      <c r="B7" s="1" t="s">
        <v>801</v>
      </c>
      <c r="C7" s="1" t="s">
        <v>788</v>
      </c>
      <c r="D7" s="1" t="s">
        <v>685</v>
      </c>
      <c r="E7" s="1" t="s">
        <v>685</v>
      </c>
      <c r="F7" s="1" t="s">
        <v>3028</v>
      </c>
      <c r="G7" s="77">
        <f t="shared" si="0"/>
        <v>122321</v>
      </c>
      <c r="H7" s="66">
        <v>113015</v>
      </c>
      <c r="I7" s="66">
        <v>810</v>
      </c>
      <c r="J7" s="66">
        <v>0</v>
      </c>
      <c r="K7" s="66">
        <v>760</v>
      </c>
      <c r="L7" s="66">
        <v>448</v>
      </c>
      <c r="M7" s="66">
        <v>7</v>
      </c>
      <c r="N7" s="66">
        <v>73</v>
      </c>
      <c r="O7" s="66">
        <v>0</v>
      </c>
      <c r="P7" s="66">
        <v>0</v>
      </c>
      <c r="Q7" s="66">
        <v>1615</v>
      </c>
      <c r="R7" s="66">
        <v>838</v>
      </c>
      <c r="S7" s="66">
        <v>402</v>
      </c>
      <c r="T7" s="66">
        <v>640</v>
      </c>
      <c r="U7" s="66">
        <v>332</v>
      </c>
      <c r="V7" s="66">
        <v>80</v>
      </c>
      <c r="W7" s="66">
        <v>502</v>
      </c>
      <c r="X7" s="66">
        <v>0</v>
      </c>
      <c r="Y7" s="66">
        <v>403</v>
      </c>
      <c r="Z7" s="66">
        <v>0</v>
      </c>
      <c r="AA7" s="66">
        <v>246</v>
      </c>
      <c r="AB7" s="66">
        <v>0</v>
      </c>
      <c r="AC7" s="66">
        <v>291</v>
      </c>
      <c r="AD7" s="66">
        <v>252</v>
      </c>
      <c r="AE7" s="66">
        <v>0</v>
      </c>
      <c r="AF7" s="66">
        <v>302</v>
      </c>
      <c r="AG7" s="66">
        <v>203</v>
      </c>
      <c r="AH7" s="66">
        <v>184</v>
      </c>
      <c r="AI7" s="66">
        <v>129</v>
      </c>
      <c r="AJ7" s="66">
        <v>98</v>
      </c>
      <c r="AK7" s="66">
        <v>20</v>
      </c>
      <c r="AL7" s="66">
        <v>69</v>
      </c>
      <c r="AM7" s="66">
        <v>0</v>
      </c>
      <c r="AN7" s="66">
        <v>170</v>
      </c>
      <c r="AO7" s="66">
        <v>85</v>
      </c>
      <c r="AP7" s="66">
        <v>9</v>
      </c>
      <c r="AQ7" s="66">
        <v>0</v>
      </c>
      <c r="AR7" s="66">
        <v>0</v>
      </c>
      <c r="AS7" s="66">
        <v>17</v>
      </c>
      <c r="AT7" s="66">
        <v>0</v>
      </c>
      <c r="AU7" s="66">
        <v>0</v>
      </c>
      <c r="AV7" s="66">
        <v>69</v>
      </c>
      <c r="AW7" s="66">
        <v>0</v>
      </c>
      <c r="AX7" s="66">
        <v>0</v>
      </c>
      <c r="AY7" s="66">
        <v>0</v>
      </c>
      <c r="AZ7" s="66">
        <v>26</v>
      </c>
      <c r="BA7" s="66">
        <v>0</v>
      </c>
      <c r="BB7" s="66">
        <v>14</v>
      </c>
      <c r="BC7" s="66">
        <v>0</v>
      </c>
      <c r="BD7" s="66">
        <v>0</v>
      </c>
      <c r="BE7" s="66">
        <v>0</v>
      </c>
      <c r="BF7" s="66">
        <v>11</v>
      </c>
      <c r="BG7" s="66">
        <v>0</v>
      </c>
      <c r="BH7" s="66">
        <v>0</v>
      </c>
      <c r="BI7" s="66">
        <v>3</v>
      </c>
      <c r="BJ7" s="66">
        <v>0</v>
      </c>
      <c r="BK7" s="66">
        <v>0</v>
      </c>
      <c r="BL7" s="66">
        <v>28</v>
      </c>
      <c r="BM7" s="66">
        <v>26</v>
      </c>
      <c r="BN7" s="66">
        <v>0</v>
      </c>
      <c r="BO7" s="66">
        <v>0</v>
      </c>
      <c r="BP7" s="66">
        <v>40</v>
      </c>
      <c r="BQ7" s="66">
        <v>0</v>
      </c>
      <c r="BR7" s="66">
        <v>0</v>
      </c>
      <c r="BS7" s="66">
        <v>0</v>
      </c>
      <c r="BT7" s="66">
        <v>10</v>
      </c>
      <c r="BU7" s="66">
        <v>0</v>
      </c>
      <c r="BV7" s="66">
        <v>0</v>
      </c>
      <c r="BW7" s="66">
        <v>3</v>
      </c>
      <c r="BX7" s="66">
        <v>0</v>
      </c>
      <c r="BY7" s="66">
        <v>0</v>
      </c>
      <c r="BZ7" s="66">
        <v>22</v>
      </c>
      <c r="CA7" s="66">
        <v>0</v>
      </c>
      <c r="CB7" s="66">
        <v>0</v>
      </c>
      <c r="CC7" s="66">
        <v>0</v>
      </c>
      <c r="CD7" s="66">
        <v>0</v>
      </c>
      <c r="CE7" s="66">
        <v>0</v>
      </c>
      <c r="CF7" s="66">
        <v>0</v>
      </c>
      <c r="CG7" s="66">
        <v>0</v>
      </c>
      <c r="CH7" s="66">
        <v>0</v>
      </c>
      <c r="CI7" s="66">
        <v>5</v>
      </c>
      <c r="CJ7" s="66">
        <v>0</v>
      </c>
      <c r="CK7" s="66">
        <v>14</v>
      </c>
      <c r="CL7" s="66">
        <v>0</v>
      </c>
      <c r="CM7" s="66">
        <v>0</v>
      </c>
      <c r="CN7" s="66">
        <v>0</v>
      </c>
      <c r="CO7" s="66">
        <v>0</v>
      </c>
      <c r="CP7" s="66">
        <v>0</v>
      </c>
      <c r="CQ7" s="66">
        <v>0</v>
      </c>
      <c r="CR7" s="66">
        <v>0</v>
      </c>
      <c r="CS7" s="66">
        <v>0</v>
      </c>
      <c r="CT7" s="66">
        <v>2</v>
      </c>
      <c r="CU7" s="66">
        <v>0</v>
      </c>
      <c r="CV7" s="66">
        <v>0</v>
      </c>
      <c r="CW7" s="66">
        <v>0</v>
      </c>
      <c r="CX7" s="66">
        <v>0</v>
      </c>
      <c r="CY7" s="66">
        <v>10</v>
      </c>
      <c r="CZ7" s="66">
        <v>2</v>
      </c>
      <c r="DA7" s="66">
        <v>2</v>
      </c>
      <c r="DB7" s="66">
        <v>0</v>
      </c>
      <c r="DC7" s="66">
        <v>0</v>
      </c>
      <c r="DD7" s="66">
        <v>0</v>
      </c>
      <c r="DE7" s="66">
        <v>0</v>
      </c>
      <c r="DF7" s="66">
        <v>0</v>
      </c>
      <c r="DG7" s="66">
        <v>0</v>
      </c>
      <c r="DH7" s="66">
        <v>0</v>
      </c>
      <c r="DI7" s="66">
        <v>0</v>
      </c>
      <c r="DJ7" s="66">
        <v>0</v>
      </c>
      <c r="DK7" s="66">
        <v>0</v>
      </c>
      <c r="DL7" s="66">
        <v>0</v>
      </c>
      <c r="DM7" s="66">
        <v>3</v>
      </c>
      <c r="DN7" s="66">
        <v>0</v>
      </c>
      <c r="DO7" s="66">
        <v>6</v>
      </c>
      <c r="DP7" s="66">
        <v>2</v>
      </c>
      <c r="DQ7" s="66">
        <v>0</v>
      </c>
      <c r="DR7" s="66">
        <v>0</v>
      </c>
      <c r="DS7" s="66">
        <v>0</v>
      </c>
      <c r="DT7" s="66">
        <v>0</v>
      </c>
      <c r="DU7" s="66">
        <v>0</v>
      </c>
      <c r="DV7" s="66">
        <v>0</v>
      </c>
      <c r="DW7" s="66">
        <v>0</v>
      </c>
      <c r="DX7" s="66">
        <v>6</v>
      </c>
      <c r="DY7" s="66">
        <v>1</v>
      </c>
      <c r="DZ7" s="66">
        <v>0</v>
      </c>
      <c r="EA7" s="66">
        <v>10</v>
      </c>
      <c r="EB7" s="66">
        <v>0</v>
      </c>
      <c r="EC7" s="66">
        <v>0</v>
      </c>
      <c r="ED7" s="66">
        <v>6</v>
      </c>
      <c r="EE7" s="66">
        <v>0</v>
      </c>
      <c r="EF7" s="66">
        <v>0</v>
      </c>
      <c r="EG7" s="66">
        <v>0</v>
      </c>
      <c r="EH7" s="66">
        <v>0</v>
      </c>
      <c r="EI7" s="66">
        <v>0</v>
      </c>
      <c r="EJ7" s="66">
        <v>0</v>
      </c>
      <c r="EK7" s="66">
        <v>0</v>
      </c>
      <c r="EL7" s="66">
        <v>0</v>
      </c>
      <c r="EM7" s="66">
        <v>0</v>
      </c>
      <c r="EN7" s="66">
        <v>0</v>
      </c>
      <c r="EO7" s="66">
        <v>0</v>
      </c>
      <c r="EP7" s="66">
        <v>0</v>
      </c>
      <c r="EQ7" s="66">
        <v>0</v>
      </c>
      <c r="ER7" s="66">
        <v>0</v>
      </c>
      <c r="ES7" s="66">
        <v>0</v>
      </c>
      <c r="ET7" s="66">
        <v>0</v>
      </c>
      <c r="EU7" s="66">
        <v>0</v>
      </c>
      <c r="EV7" s="66">
        <v>0</v>
      </c>
    </row>
    <row r="8" spans="1:152">
      <c r="A8" s="1" t="s">
        <v>672</v>
      </c>
      <c r="B8" s="1" t="s">
        <v>800</v>
      </c>
      <c r="C8" s="1" t="s">
        <v>788</v>
      </c>
      <c r="D8" s="1" t="s">
        <v>685</v>
      </c>
      <c r="E8" s="1" t="s">
        <v>685</v>
      </c>
      <c r="F8" s="1" t="s">
        <v>3028</v>
      </c>
      <c r="G8" s="77">
        <f t="shared" si="0"/>
        <v>63521</v>
      </c>
      <c r="H8" s="66">
        <v>19</v>
      </c>
      <c r="I8" s="66">
        <v>6907</v>
      </c>
      <c r="J8" s="66">
        <v>0</v>
      </c>
      <c r="K8" s="66">
        <v>43759</v>
      </c>
      <c r="L8" s="66">
        <v>11541</v>
      </c>
      <c r="M8" s="66">
        <v>4</v>
      </c>
      <c r="N8" s="66">
        <v>840</v>
      </c>
      <c r="O8" s="66">
        <v>0</v>
      </c>
      <c r="P8" s="66">
        <v>0</v>
      </c>
      <c r="Q8" s="66">
        <v>11</v>
      </c>
      <c r="R8" s="66">
        <v>14</v>
      </c>
      <c r="S8" s="66">
        <v>7</v>
      </c>
      <c r="T8" s="66">
        <v>0</v>
      </c>
      <c r="U8" s="66">
        <v>2</v>
      </c>
      <c r="V8" s="66">
        <v>7</v>
      </c>
      <c r="W8" s="66">
        <v>3</v>
      </c>
      <c r="X8" s="66">
        <v>0</v>
      </c>
      <c r="Y8" s="66">
        <v>17</v>
      </c>
      <c r="Z8" s="66">
        <v>0</v>
      </c>
      <c r="AA8" s="66">
        <v>2</v>
      </c>
      <c r="AB8" s="66">
        <v>95</v>
      </c>
      <c r="AC8" s="66">
        <v>0</v>
      </c>
      <c r="AD8" s="66">
        <v>0</v>
      </c>
      <c r="AE8" s="66">
        <v>0</v>
      </c>
      <c r="AF8" s="66">
        <v>18</v>
      </c>
      <c r="AG8" s="66">
        <v>0</v>
      </c>
      <c r="AH8" s="66">
        <v>0</v>
      </c>
      <c r="AI8" s="66">
        <v>3</v>
      </c>
      <c r="AJ8" s="66">
        <v>0</v>
      </c>
      <c r="AK8" s="66">
        <v>13</v>
      </c>
      <c r="AL8" s="66">
        <v>0</v>
      </c>
      <c r="AM8" s="66">
        <v>0</v>
      </c>
      <c r="AN8" s="66">
        <v>0</v>
      </c>
      <c r="AO8" s="66">
        <v>0</v>
      </c>
      <c r="AP8" s="66">
        <v>87</v>
      </c>
      <c r="AQ8" s="66">
        <v>0</v>
      </c>
      <c r="AR8" s="66">
        <v>0</v>
      </c>
      <c r="AS8" s="66">
        <v>43</v>
      </c>
      <c r="AT8" s="66">
        <v>0</v>
      </c>
      <c r="AU8" s="66">
        <v>0</v>
      </c>
      <c r="AV8" s="66">
        <v>10</v>
      </c>
      <c r="AW8" s="66">
        <v>0</v>
      </c>
      <c r="AX8" s="66">
        <v>0</v>
      </c>
      <c r="AY8" s="66">
        <v>0</v>
      </c>
      <c r="AZ8" s="66">
        <v>0</v>
      </c>
      <c r="BA8" s="66">
        <v>0</v>
      </c>
      <c r="BB8" s="66">
        <v>5</v>
      </c>
      <c r="BC8" s="66">
        <v>0</v>
      </c>
      <c r="BD8" s="66">
        <v>0</v>
      </c>
      <c r="BE8" s="66">
        <v>0</v>
      </c>
      <c r="BF8" s="66">
        <v>0</v>
      </c>
      <c r="BG8" s="66">
        <v>15</v>
      </c>
      <c r="BH8" s="66">
        <v>0</v>
      </c>
      <c r="BI8" s="66">
        <v>2</v>
      </c>
      <c r="BJ8" s="66">
        <v>0</v>
      </c>
      <c r="BK8" s="66">
        <v>0</v>
      </c>
      <c r="BL8" s="66">
        <v>0</v>
      </c>
      <c r="BM8" s="66">
        <v>0</v>
      </c>
      <c r="BN8" s="66">
        <v>0</v>
      </c>
      <c r="BO8" s="66">
        <v>2</v>
      </c>
      <c r="BP8" s="66">
        <v>0</v>
      </c>
      <c r="BQ8" s="66">
        <v>0</v>
      </c>
      <c r="BR8" s="66">
        <v>0</v>
      </c>
      <c r="BS8" s="66">
        <v>0</v>
      </c>
      <c r="BT8" s="66">
        <v>0</v>
      </c>
      <c r="BU8" s="66">
        <v>0</v>
      </c>
      <c r="BV8" s="66">
        <v>0</v>
      </c>
      <c r="BW8" s="66">
        <v>14</v>
      </c>
      <c r="BX8" s="66">
        <v>0</v>
      </c>
      <c r="BY8" s="66">
        <v>0</v>
      </c>
      <c r="BZ8" s="66">
        <v>1</v>
      </c>
      <c r="CA8" s="66">
        <v>0</v>
      </c>
      <c r="CB8" s="66">
        <v>0</v>
      </c>
      <c r="CC8" s="66">
        <v>0</v>
      </c>
      <c r="CD8" s="66">
        <v>7</v>
      </c>
      <c r="CE8" s="66">
        <v>0</v>
      </c>
      <c r="CF8" s="66">
        <v>0</v>
      </c>
      <c r="CG8" s="66">
        <v>2</v>
      </c>
      <c r="CH8" s="66">
        <v>11</v>
      </c>
      <c r="CI8" s="66">
        <v>3</v>
      </c>
      <c r="CJ8" s="66">
        <v>19</v>
      </c>
      <c r="CK8" s="66">
        <v>1</v>
      </c>
      <c r="CL8" s="66">
        <v>0</v>
      </c>
      <c r="CM8" s="66">
        <v>0</v>
      </c>
      <c r="CN8" s="66">
        <v>13</v>
      </c>
      <c r="CO8" s="66">
        <v>0</v>
      </c>
      <c r="CP8" s="66">
        <v>0</v>
      </c>
      <c r="CQ8" s="66">
        <v>0</v>
      </c>
      <c r="CR8" s="66">
        <v>0</v>
      </c>
      <c r="CS8" s="66">
        <v>0</v>
      </c>
      <c r="CT8" s="66">
        <v>0</v>
      </c>
      <c r="CU8" s="66">
        <v>0</v>
      </c>
      <c r="CV8" s="66">
        <v>3</v>
      </c>
      <c r="CW8" s="66">
        <v>0</v>
      </c>
      <c r="CX8" s="66">
        <v>5</v>
      </c>
      <c r="CY8" s="66">
        <v>0</v>
      </c>
      <c r="CZ8" s="66">
        <v>1</v>
      </c>
      <c r="DA8" s="66">
        <v>2</v>
      </c>
      <c r="DB8" s="66">
        <v>0</v>
      </c>
      <c r="DC8" s="66">
        <v>2</v>
      </c>
      <c r="DD8" s="66">
        <v>0</v>
      </c>
      <c r="DE8" s="66">
        <v>0</v>
      </c>
      <c r="DF8" s="66">
        <v>0</v>
      </c>
      <c r="DG8" s="66">
        <v>0</v>
      </c>
      <c r="DH8" s="66">
        <v>0</v>
      </c>
      <c r="DI8" s="66">
        <v>0</v>
      </c>
      <c r="DJ8" s="66">
        <v>0</v>
      </c>
      <c r="DK8" s="66">
        <v>0</v>
      </c>
      <c r="DL8" s="66">
        <v>0</v>
      </c>
      <c r="DM8" s="66">
        <v>4</v>
      </c>
      <c r="DN8" s="66">
        <v>0</v>
      </c>
      <c r="DO8" s="66">
        <v>0</v>
      </c>
      <c r="DP8" s="66">
        <v>0</v>
      </c>
      <c r="DQ8" s="66">
        <v>1</v>
      </c>
      <c r="DR8" s="66">
        <v>1</v>
      </c>
      <c r="DS8" s="66">
        <v>0</v>
      </c>
      <c r="DT8" s="66">
        <v>0</v>
      </c>
      <c r="DU8" s="66">
        <v>0</v>
      </c>
      <c r="DV8" s="66">
        <v>0</v>
      </c>
      <c r="DW8" s="66">
        <v>0</v>
      </c>
      <c r="DX8" s="66">
        <v>0</v>
      </c>
      <c r="DY8" s="66">
        <v>0</v>
      </c>
      <c r="DZ8" s="66">
        <v>3</v>
      </c>
      <c r="EA8" s="66">
        <v>0</v>
      </c>
      <c r="EB8" s="66">
        <v>2</v>
      </c>
      <c r="EC8" s="66">
        <v>0</v>
      </c>
      <c r="ED8" s="66">
        <v>0</v>
      </c>
      <c r="EE8" s="66">
        <v>0</v>
      </c>
      <c r="EF8" s="66">
        <v>0</v>
      </c>
      <c r="EG8" s="66">
        <v>0</v>
      </c>
      <c r="EH8" s="66">
        <v>0</v>
      </c>
      <c r="EI8" s="66">
        <v>0</v>
      </c>
      <c r="EJ8" s="66">
        <v>0</v>
      </c>
      <c r="EK8" s="66">
        <v>0</v>
      </c>
      <c r="EL8" s="66">
        <v>0</v>
      </c>
      <c r="EM8" s="66">
        <v>0</v>
      </c>
      <c r="EN8" s="66">
        <v>0</v>
      </c>
      <c r="EO8" s="66">
        <v>0</v>
      </c>
      <c r="EP8" s="66">
        <v>0</v>
      </c>
      <c r="EQ8" s="66">
        <v>0</v>
      </c>
      <c r="ER8" s="66">
        <v>0</v>
      </c>
      <c r="ES8" s="66">
        <v>0</v>
      </c>
      <c r="ET8" s="66">
        <v>0</v>
      </c>
      <c r="EU8" s="66">
        <v>0</v>
      </c>
      <c r="EV8" s="66">
        <v>0</v>
      </c>
    </row>
    <row r="9" spans="1:152">
      <c r="A9" s="1" t="s">
        <v>671</v>
      </c>
      <c r="B9" s="1" t="s">
        <v>799</v>
      </c>
      <c r="C9" s="1" t="s">
        <v>788</v>
      </c>
      <c r="D9" s="1" t="s">
        <v>685</v>
      </c>
      <c r="E9" s="1" t="s">
        <v>685</v>
      </c>
      <c r="F9" s="1" t="s">
        <v>3028</v>
      </c>
      <c r="G9" s="77">
        <f t="shared" si="0"/>
        <v>76725</v>
      </c>
      <c r="H9" s="66">
        <v>1</v>
      </c>
      <c r="I9" s="66">
        <v>68219</v>
      </c>
      <c r="J9" s="66">
        <v>0</v>
      </c>
      <c r="K9" s="66">
        <v>3</v>
      </c>
      <c r="L9" s="66">
        <v>14</v>
      </c>
      <c r="M9" s="66">
        <v>6551</v>
      </c>
      <c r="N9" s="66">
        <v>1539</v>
      </c>
      <c r="O9" s="66">
        <v>0</v>
      </c>
      <c r="P9" s="66">
        <v>0</v>
      </c>
      <c r="Q9" s="66">
        <v>1</v>
      </c>
      <c r="R9" s="66">
        <v>0</v>
      </c>
      <c r="S9" s="66">
        <v>9</v>
      </c>
      <c r="T9" s="66">
        <v>2</v>
      </c>
      <c r="U9" s="66">
        <v>2</v>
      </c>
      <c r="V9" s="66">
        <v>0</v>
      </c>
      <c r="W9" s="66">
        <v>0</v>
      </c>
      <c r="X9" s="66">
        <v>0</v>
      </c>
      <c r="Y9" s="66">
        <v>0</v>
      </c>
      <c r="Z9" s="66">
        <v>0</v>
      </c>
      <c r="AA9" s="66">
        <v>3</v>
      </c>
      <c r="AB9" s="66">
        <v>2</v>
      </c>
      <c r="AC9" s="66">
        <v>0</v>
      </c>
      <c r="AD9" s="66">
        <v>4</v>
      </c>
      <c r="AE9" s="66">
        <v>0</v>
      </c>
      <c r="AF9" s="66">
        <v>0</v>
      </c>
      <c r="AG9" s="66">
        <v>22</v>
      </c>
      <c r="AH9" s="66">
        <v>0</v>
      </c>
      <c r="AI9" s="66">
        <v>14</v>
      </c>
      <c r="AJ9" s="66">
        <v>30</v>
      </c>
      <c r="AK9" s="66">
        <v>16</v>
      </c>
      <c r="AL9" s="66">
        <v>0</v>
      </c>
      <c r="AM9" s="66">
        <v>0</v>
      </c>
      <c r="AN9" s="66">
        <v>0</v>
      </c>
      <c r="AO9" s="66">
        <v>0</v>
      </c>
      <c r="AP9" s="66">
        <v>5</v>
      </c>
      <c r="AQ9" s="66">
        <v>0</v>
      </c>
      <c r="AR9" s="66">
        <v>0</v>
      </c>
      <c r="AS9" s="66">
        <v>70</v>
      </c>
      <c r="AT9" s="66">
        <v>0</v>
      </c>
      <c r="AU9" s="66">
        <v>0</v>
      </c>
      <c r="AV9" s="66">
        <v>0</v>
      </c>
      <c r="AW9" s="66">
        <v>0</v>
      </c>
      <c r="AX9" s="66">
        <v>0</v>
      </c>
      <c r="AY9" s="66">
        <v>0</v>
      </c>
      <c r="AZ9" s="66">
        <v>8</v>
      </c>
      <c r="BA9" s="66">
        <v>0</v>
      </c>
      <c r="BB9" s="66">
        <v>0</v>
      </c>
      <c r="BC9" s="66">
        <v>0</v>
      </c>
      <c r="BD9" s="66">
        <v>0</v>
      </c>
      <c r="BE9" s="66">
        <v>0</v>
      </c>
      <c r="BF9" s="66">
        <v>0</v>
      </c>
      <c r="BG9" s="66">
        <v>33</v>
      </c>
      <c r="BH9" s="66">
        <v>0</v>
      </c>
      <c r="BI9" s="66">
        <v>39</v>
      </c>
      <c r="BJ9" s="66">
        <v>0</v>
      </c>
      <c r="BK9" s="66">
        <v>0</v>
      </c>
      <c r="BL9" s="66">
        <v>0</v>
      </c>
      <c r="BM9" s="66">
        <v>0</v>
      </c>
      <c r="BN9" s="66">
        <v>0</v>
      </c>
      <c r="BO9" s="66">
        <v>12</v>
      </c>
      <c r="BP9" s="66">
        <v>0</v>
      </c>
      <c r="BQ9" s="66">
        <v>0</v>
      </c>
      <c r="BR9" s="66">
        <v>0</v>
      </c>
      <c r="BS9" s="66">
        <v>0</v>
      </c>
      <c r="BT9" s="66">
        <v>0</v>
      </c>
      <c r="BU9" s="66">
        <v>0</v>
      </c>
      <c r="BV9" s="66">
        <v>0</v>
      </c>
      <c r="BW9" s="66">
        <v>6</v>
      </c>
      <c r="BX9" s="66">
        <v>2</v>
      </c>
      <c r="BY9" s="66">
        <v>0</v>
      </c>
      <c r="BZ9" s="66">
        <v>3</v>
      </c>
      <c r="CA9" s="66">
        <v>0</v>
      </c>
      <c r="CB9" s="66">
        <v>0</v>
      </c>
      <c r="CC9" s="66">
        <v>0</v>
      </c>
      <c r="CD9" s="66">
        <v>18</v>
      </c>
      <c r="CE9" s="66">
        <v>0</v>
      </c>
      <c r="CF9" s="66">
        <v>1</v>
      </c>
      <c r="CG9" s="66">
        <v>0</v>
      </c>
      <c r="CH9" s="66">
        <v>0</v>
      </c>
      <c r="CI9" s="66">
        <v>1</v>
      </c>
      <c r="CJ9" s="66">
        <v>3</v>
      </c>
      <c r="CK9" s="66">
        <v>2</v>
      </c>
      <c r="CL9" s="66">
        <v>0</v>
      </c>
      <c r="CM9" s="66">
        <v>0</v>
      </c>
      <c r="CN9" s="66">
        <v>1</v>
      </c>
      <c r="CO9" s="66">
        <v>0</v>
      </c>
      <c r="CP9" s="66">
        <v>0</v>
      </c>
      <c r="CQ9" s="66">
        <v>0</v>
      </c>
      <c r="CR9" s="66">
        <v>0</v>
      </c>
      <c r="CS9" s="66">
        <v>0</v>
      </c>
      <c r="CT9" s="66">
        <v>4</v>
      </c>
      <c r="CU9" s="66">
        <v>0</v>
      </c>
      <c r="CV9" s="66">
        <v>7</v>
      </c>
      <c r="CW9" s="66">
        <v>0</v>
      </c>
      <c r="CX9" s="66">
        <v>0</v>
      </c>
      <c r="CY9" s="66">
        <v>0</v>
      </c>
      <c r="CZ9" s="66">
        <v>0</v>
      </c>
      <c r="DA9" s="66">
        <v>0</v>
      </c>
      <c r="DB9" s="66">
        <v>0</v>
      </c>
      <c r="DC9" s="66">
        <v>2</v>
      </c>
      <c r="DD9" s="66">
        <v>0</v>
      </c>
      <c r="DE9" s="66">
        <v>0</v>
      </c>
      <c r="DF9" s="66">
        <v>0</v>
      </c>
      <c r="DG9" s="66">
        <v>0</v>
      </c>
      <c r="DH9" s="66">
        <v>0</v>
      </c>
      <c r="DI9" s="66">
        <v>0</v>
      </c>
      <c r="DJ9" s="66">
        <v>4</v>
      </c>
      <c r="DK9" s="66">
        <v>8</v>
      </c>
      <c r="DL9" s="66">
        <v>3</v>
      </c>
      <c r="DM9" s="66">
        <v>0</v>
      </c>
      <c r="DN9" s="66">
        <v>0</v>
      </c>
      <c r="DO9" s="66">
        <v>1</v>
      </c>
      <c r="DP9" s="66">
        <v>0</v>
      </c>
      <c r="DQ9" s="66">
        <v>10</v>
      </c>
      <c r="DR9" s="66">
        <v>2</v>
      </c>
      <c r="DS9" s="66">
        <v>6</v>
      </c>
      <c r="DT9" s="66">
        <v>5</v>
      </c>
      <c r="DU9" s="66">
        <v>0</v>
      </c>
      <c r="DV9" s="66">
        <v>1</v>
      </c>
      <c r="DW9" s="66">
        <v>11</v>
      </c>
      <c r="DX9" s="66">
        <v>0</v>
      </c>
      <c r="DY9" s="66">
        <v>1</v>
      </c>
      <c r="DZ9" s="66">
        <v>1</v>
      </c>
      <c r="EA9" s="66">
        <v>0</v>
      </c>
      <c r="EB9" s="66">
        <v>8</v>
      </c>
      <c r="EC9" s="66">
        <v>10</v>
      </c>
      <c r="ED9" s="66">
        <v>0</v>
      </c>
      <c r="EE9" s="66">
        <v>0</v>
      </c>
      <c r="EF9" s="66">
        <v>0</v>
      </c>
      <c r="EG9" s="66">
        <v>0</v>
      </c>
      <c r="EH9" s="66">
        <v>0</v>
      </c>
      <c r="EI9" s="66">
        <v>0</v>
      </c>
      <c r="EJ9" s="66">
        <v>0</v>
      </c>
      <c r="EK9" s="66">
        <v>2</v>
      </c>
      <c r="EL9" s="66">
        <v>0</v>
      </c>
      <c r="EM9" s="66">
        <v>0</v>
      </c>
      <c r="EN9" s="66">
        <v>0</v>
      </c>
      <c r="EO9" s="66">
        <v>1</v>
      </c>
      <c r="EP9" s="66">
        <v>0</v>
      </c>
      <c r="EQ9" s="66">
        <v>0</v>
      </c>
      <c r="ER9" s="66">
        <v>0</v>
      </c>
      <c r="ES9" s="66">
        <v>0</v>
      </c>
      <c r="ET9" s="66">
        <v>1</v>
      </c>
      <c r="EU9" s="66">
        <v>1</v>
      </c>
      <c r="EV9" s="66">
        <v>0</v>
      </c>
    </row>
    <row r="10" spans="1:152">
      <c r="A10" s="1" t="s">
        <v>670</v>
      </c>
      <c r="B10" s="1" t="s">
        <v>798</v>
      </c>
      <c r="C10" s="1" t="s">
        <v>788</v>
      </c>
      <c r="D10" s="1" t="s">
        <v>685</v>
      </c>
      <c r="E10" s="1" t="s">
        <v>685</v>
      </c>
      <c r="F10" s="1" t="s">
        <v>3028</v>
      </c>
      <c r="G10" s="77">
        <f t="shared" si="0"/>
        <v>83059</v>
      </c>
      <c r="H10" s="66">
        <v>700</v>
      </c>
      <c r="I10" s="66">
        <v>77041</v>
      </c>
      <c r="J10" s="66">
        <v>10</v>
      </c>
      <c r="K10" s="66">
        <v>20</v>
      </c>
      <c r="L10" s="66">
        <v>2426</v>
      </c>
      <c r="M10" s="66">
        <v>8</v>
      </c>
      <c r="N10" s="66">
        <v>1190</v>
      </c>
      <c r="O10" s="66">
        <v>2</v>
      </c>
      <c r="P10" s="66">
        <v>0</v>
      </c>
      <c r="Q10" s="66">
        <v>41</v>
      </c>
      <c r="R10" s="66">
        <v>20</v>
      </c>
      <c r="S10" s="66">
        <v>574</v>
      </c>
      <c r="T10" s="66">
        <v>161</v>
      </c>
      <c r="U10" s="66">
        <v>80</v>
      </c>
      <c r="V10" s="66">
        <v>0</v>
      </c>
      <c r="W10" s="66">
        <v>11</v>
      </c>
      <c r="X10" s="66">
        <v>0</v>
      </c>
      <c r="Y10" s="66">
        <v>0</v>
      </c>
      <c r="Z10" s="66">
        <v>0</v>
      </c>
      <c r="AA10" s="66">
        <v>139</v>
      </c>
      <c r="AB10" s="66">
        <v>155</v>
      </c>
      <c r="AC10" s="66">
        <v>0</v>
      </c>
      <c r="AD10" s="66">
        <v>142</v>
      </c>
      <c r="AE10" s="66">
        <v>0</v>
      </c>
      <c r="AF10" s="66">
        <v>15</v>
      </c>
      <c r="AG10" s="66">
        <v>13</v>
      </c>
      <c r="AH10" s="66">
        <v>1</v>
      </c>
      <c r="AI10" s="66">
        <v>6</v>
      </c>
      <c r="AJ10" s="66">
        <v>6</v>
      </c>
      <c r="AK10" s="66">
        <v>23</v>
      </c>
      <c r="AL10" s="66">
        <v>0</v>
      </c>
      <c r="AM10" s="66">
        <v>0</v>
      </c>
      <c r="AN10" s="66">
        <v>21</v>
      </c>
      <c r="AO10" s="66">
        <v>2</v>
      </c>
      <c r="AP10" s="66">
        <v>4</v>
      </c>
      <c r="AQ10" s="66">
        <v>0</v>
      </c>
      <c r="AR10" s="66">
        <v>0</v>
      </c>
      <c r="AS10" s="66">
        <v>24</v>
      </c>
      <c r="AT10" s="66">
        <v>0</v>
      </c>
      <c r="AU10" s="66">
        <v>0</v>
      </c>
      <c r="AV10" s="66">
        <v>0</v>
      </c>
      <c r="AW10" s="66">
        <v>0</v>
      </c>
      <c r="AX10" s="66">
        <v>0</v>
      </c>
      <c r="AY10" s="66">
        <v>0</v>
      </c>
      <c r="AZ10" s="66">
        <v>0</v>
      </c>
      <c r="BA10" s="66">
        <v>0</v>
      </c>
      <c r="BB10" s="66">
        <v>3</v>
      </c>
      <c r="BC10" s="66">
        <v>0</v>
      </c>
      <c r="BD10" s="66">
        <v>0</v>
      </c>
      <c r="BE10" s="66">
        <v>0</v>
      </c>
      <c r="BF10" s="66">
        <v>0</v>
      </c>
      <c r="BG10" s="66">
        <v>35</v>
      </c>
      <c r="BH10" s="66">
        <v>0</v>
      </c>
      <c r="BI10" s="66">
        <v>27</v>
      </c>
      <c r="BJ10" s="66">
        <v>0</v>
      </c>
      <c r="BK10" s="66">
        <v>0</v>
      </c>
      <c r="BL10" s="66">
        <v>0</v>
      </c>
      <c r="BM10" s="66">
        <v>2</v>
      </c>
      <c r="BN10" s="66">
        <v>0</v>
      </c>
      <c r="BO10" s="66">
        <v>13</v>
      </c>
      <c r="BP10" s="66">
        <v>0</v>
      </c>
      <c r="BQ10" s="66">
        <v>0</v>
      </c>
      <c r="BR10" s="66">
        <v>0</v>
      </c>
      <c r="BS10" s="66">
        <v>0</v>
      </c>
      <c r="BT10" s="66">
        <v>0</v>
      </c>
      <c r="BU10" s="66">
        <v>0</v>
      </c>
      <c r="BV10" s="66">
        <v>0</v>
      </c>
      <c r="BW10" s="66">
        <v>7</v>
      </c>
      <c r="BX10" s="66">
        <v>7</v>
      </c>
      <c r="BY10" s="66">
        <v>0</v>
      </c>
      <c r="BZ10" s="66">
        <v>5</v>
      </c>
      <c r="CA10" s="66">
        <v>0</v>
      </c>
      <c r="CB10" s="66">
        <v>0</v>
      </c>
      <c r="CC10" s="66">
        <v>0</v>
      </c>
      <c r="CD10" s="66">
        <v>6</v>
      </c>
      <c r="CE10" s="66">
        <v>0</v>
      </c>
      <c r="CF10" s="66">
        <v>5</v>
      </c>
      <c r="CG10" s="66">
        <v>3</v>
      </c>
      <c r="CH10" s="66">
        <v>7</v>
      </c>
      <c r="CI10" s="66">
        <v>1</v>
      </c>
      <c r="CJ10" s="66">
        <v>0</v>
      </c>
      <c r="CK10" s="66">
        <v>0</v>
      </c>
      <c r="CL10" s="66">
        <v>0</v>
      </c>
      <c r="CM10" s="66">
        <v>0</v>
      </c>
      <c r="CN10" s="66">
        <v>2</v>
      </c>
      <c r="CO10" s="66">
        <v>0</v>
      </c>
      <c r="CP10" s="66">
        <v>0</v>
      </c>
      <c r="CQ10" s="66">
        <v>0</v>
      </c>
      <c r="CR10" s="66">
        <v>0</v>
      </c>
      <c r="CS10" s="66">
        <v>0</v>
      </c>
      <c r="CT10" s="66">
        <v>1</v>
      </c>
      <c r="CU10" s="66">
        <v>0</v>
      </c>
      <c r="CV10" s="66">
        <v>7</v>
      </c>
      <c r="CW10" s="66">
        <v>0</v>
      </c>
      <c r="CX10" s="66">
        <v>4</v>
      </c>
      <c r="CY10" s="66">
        <v>1</v>
      </c>
      <c r="CZ10" s="66">
        <v>0</v>
      </c>
      <c r="DA10" s="66">
        <v>1</v>
      </c>
      <c r="DB10" s="66">
        <v>0</v>
      </c>
      <c r="DC10" s="66">
        <v>10</v>
      </c>
      <c r="DD10" s="66">
        <v>0</v>
      </c>
      <c r="DE10" s="66">
        <v>0</v>
      </c>
      <c r="DF10" s="66">
        <v>0</v>
      </c>
      <c r="DG10" s="66">
        <v>4</v>
      </c>
      <c r="DH10" s="66">
        <v>0</v>
      </c>
      <c r="DI10" s="66">
        <v>0</v>
      </c>
      <c r="DJ10" s="66">
        <v>5</v>
      </c>
      <c r="DK10" s="66">
        <v>2</v>
      </c>
      <c r="DL10" s="66">
        <v>8</v>
      </c>
      <c r="DM10" s="66">
        <v>0</v>
      </c>
      <c r="DN10" s="66">
        <v>0</v>
      </c>
      <c r="DO10" s="66">
        <v>2</v>
      </c>
      <c r="DP10" s="66">
        <v>1</v>
      </c>
      <c r="DQ10" s="66">
        <v>2</v>
      </c>
      <c r="DR10" s="66">
        <v>4</v>
      </c>
      <c r="DS10" s="66">
        <v>5</v>
      </c>
      <c r="DT10" s="66">
        <v>6</v>
      </c>
      <c r="DU10" s="66">
        <v>0</v>
      </c>
      <c r="DV10" s="66">
        <v>8</v>
      </c>
      <c r="DW10" s="66">
        <v>0</v>
      </c>
      <c r="DX10" s="66">
        <v>0</v>
      </c>
      <c r="DY10" s="66">
        <v>0</v>
      </c>
      <c r="DZ10" s="66">
        <v>1</v>
      </c>
      <c r="EA10" s="66">
        <v>0</v>
      </c>
      <c r="EB10" s="66">
        <v>0</v>
      </c>
      <c r="EC10" s="66">
        <v>0</v>
      </c>
      <c r="ED10" s="66">
        <v>0</v>
      </c>
      <c r="EE10" s="66">
        <v>0</v>
      </c>
      <c r="EF10" s="66">
        <v>0</v>
      </c>
      <c r="EG10" s="66">
        <v>9</v>
      </c>
      <c r="EH10" s="66">
        <v>0</v>
      </c>
      <c r="EI10" s="66">
        <v>7</v>
      </c>
      <c r="EJ10" s="66">
        <v>0</v>
      </c>
      <c r="EK10" s="66">
        <v>3</v>
      </c>
      <c r="EL10" s="66">
        <v>1</v>
      </c>
      <c r="EM10" s="66">
        <v>0</v>
      </c>
      <c r="EN10" s="66">
        <v>3</v>
      </c>
      <c r="EO10" s="66">
        <v>2</v>
      </c>
      <c r="EP10" s="66">
        <v>0</v>
      </c>
      <c r="EQ10" s="66">
        <v>2</v>
      </c>
      <c r="ER10" s="66">
        <v>0</v>
      </c>
      <c r="ES10" s="66">
        <v>2</v>
      </c>
      <c r="ET10" s="66">
        <v>0</v>
      </c>
      <c r="EU10" s="66">
        <v>0</v>
      </c>
      <c r="EV10" s="66">
        <v>0</v>
      </c>
    </row>
    <row r="11" spans="1:152">
      <c r="A11" s="1" t="s">
        <v>669</v>
      </c>
      <c r="B11" s="1" t="s">
        <v>797</v>
      </c>
      <c r="C11" s="1" t="s">
        <v>788</v>
      </c>
      <c r="D11" s="1" t="s">
        <v>685</v>
      </c>
      <c r="E11" s="1" t="s">
        <v>685</v>
      </c>
      <c r="F11" s="1" t="s">
        <v>3028</v>
      </c>
      <c r="G11" s="77">
        <f t="shared" si="0"/>
        <v>98223</v>
      </c>
      <c r="H11" s="66">
        <v>86923</v>
      </c>
      <c r="I11" s="66">
        <v>28</v>
      </c>
      <c r="J11" s="66">
        <v>0</v>
      </c>
      <c r="K11" s="66">
        <v>153</v>
      </c>
      <c r="L11" s="66">
        <v>10</v>
      </c>
      <c r="M11" s="66">
        <v>0</v>
      </c>
      <c r="N11" s="66">
        <v>6</v>
      </c>
      <c r="O11" s="66">
        <v>3871</v>
      </c>
      <c r="P11" s="66">
        <v>3178</v>
      </c>
      <c r="Q11" s="66">
        <v>811</v>
      </c>
      <c r="R11" s="66">
        <v>371</v>
      </c>
      <c r="S11" s="66">
        <v>7</v>
      </c>
      <c r="T11" s="66">
        <v>57</v>
      </c>
      <c r="U11" s="66">
        <v>362</v>
      </c>
      <c r="V11" s="66">
        <v>0</v>
      </c>
      <c r="W11" s="66">
        <v>174</v>
      </c>
      <c r="X11" s="66">
        <v>0</v>
      </c>
      <c r="Y11" s="66">
        <v>94</v>
      </c>
      <c r="Z11" s="66">
        <v>0</v>
      </c>
      <c r="AA11" s="66">
        <v>49</v>
      </c>
      <c r="AB11" s="66">
        <v>0</v>
      </c>
      <c r="AC11" s="66">
        <v>150</v>
      </c>
      <c r="AD11" s="66">
        <v>4</v>
      </c>
      <c r="AE11" s="66">
        <v>0</v>
      </c>
      <c r="AF11" s="66">
        <v>36</v>
      </c>
      <c r="AG11" s="66">
        <v>188</v>
      </c>
      <c r="AH11" s="66">
        <v>146</v>
      </c>
      <c r="AI11" s="66">
        <v>148</v>
      </c>
      <c r="AJ11" s="66">
        <v>149</v>
      </c>
      <c r="AK11" s="66">
        <v>130</v>
      </c>
      <c r="AL11" s="66">
        <v>170</v>
      </c>
      <c r="AM11" s="66">
        <v>0</v>
      </c>
      <c r="AN11" s="66">
        <v>6</v>
      </c>
      <c r="AO11" s="66">
        <v>123</v>
      </c>
      <c r="AP11" s="66">
        <v>9</v>
      </c>
      <c r="AQ11" s="66">
        <v>0</v>
      </c>
      <c r="AR11" s="66">
        <v>170</v>
      </c>
      <c r="AS11" s="66">
        <v>0</v>
      </c>
      <c r="AT11" s="66">
        <v>0</v>
      </c>
      <c r="AU11" s="66">
        <v>0</v>
      </c>
      <c r="AV11" s="66">
        <v>22</v>
      </c>
      <c r="AW11" s="66">
        <v>0</v>
      </c>
      <c r="AX11" s="66">
        <v>0</v>
      </c>
      <c r="AY11" s="66">
        <v>0</v>
      </c>
      <c r="AZ11" s="66">
        <v>81</v>
      </c>
      <c r="BA11" s="66">
        <v>0</v>
      </c>
      <c r="BB11" s="66">
        <v>71</v>
      </c>
      <c r="BC11" s="66">
        <v>0</v>
      </c>
      <c r="BD11" s="66">
        <v>0</v>
      </c>
      <c r="BE11" s="66">
        <v>0</v>
      </c>
      <c r="BF11" s="66">
        <v>88</v>
      </c>
      <c r="BG11" s="66">
        <v>0</v>
      </c>
      <c r="BH11" s="66">
        <v>0</v>
      </c>
      <c r="BI11" s="66">
        <v>1</v>
      </c>
      <c r="BJ11" s="66">
        <v>0</v>
      </c>
      <c r="BK11" s="66">
        <v>0</v>
      </c>
      <c r="BL11" s="66">
        <v>64</v>
      </c>
      <c r="BM11" s="66">
        <v>60</v>
      </c>
      <c r="BN11" s="66">
        <v>18</v>
      </c>
      <c r="BO11" s="66">
        <v>11</v>
      </c>
      <c r="BP11" s="66">
        <v>31</v>
      </c>
      <c r="BQ11" s="66">
        <v>0</v>
      </c>
      <c r="BR11" s="66">
        <v>0</v>
      </c>
      <c r="BS11" s="66">
        <v>0</v>
      </c>
      <c r="BT11" s="66">
        <v>45</v>
      </c>
      <c r="BU11" s="66">
        <v>0</v>
      </c>
      <c r="BV11" s="66">
        <v>0</v>
      </c>
      <c r="BW11" s="66">
        <v>10</v>
      </c>
      <c r="BX11" s="66">
        <v>40</v>
      </c>
      <c r="BY11" s="66">
        <v>0</v>
      </c>
      <c r="BZ11" s="66">
        <v>6</v>
      </c>
      <c r="CA11" s="66">
        <v>0</v>
      </c>
      <c r="CB11" s="66">
        <v>0</v>
      </c>
      <c r="CC11" s="66">
        <v>0</v>
      </c>
      <c r="CD11" s="66">
        <v>0</v>
      </c>
      <c r="CE11" s="66">
        <v>0</v>
      </c>
      <c r="CF11" s="66">
        <v>0</v>
      </c>
      <c r="CG11" s="66">
        <v>0</v>
      </c>
      <c r="CH11" s="66">
        <v>7</v>
      </c>
      <c r="CI11" s="66">
        <v>20</v>
      </c>
      <c r="CJ11" s="66">
        <v>0</v>
      </c>
      <c r="CK11" s="66">
        <v>13</v>
      </c>
      <c r="CL11" s="66">
        <v>6</v>
      </c>
      <c r="CM11" s="66">
        <v>0</v>
      </c>
      <c r="CN11" s="66">
        <v>2</v>
      </c>
      <c r="CO11" s="66">
        <v>0</v>
      </c>
      <c r="CP11" s="66">
        <v>0</v>
      </c>
      <c r="CQ11" s="66">
        <v>0</v>
      </c>
      <c r="CR11" s="66">
        <v>0</v>
      </c>
      <c r="CS11" s="66">
        <v>0</v>
      </c>
      <c r="CT11" s="66">
        <v>14</v>
      </c>
      <c r="CU11" s="66">
        <v>0</v>
      </c>
      <c r="CV11" s="66">
        <v>0</v>
      </c>
      <c r="CW11" s="66">
        <v>0</v>
      </c>
      <c r="CX11" s="66">
        <v>2</v>
      </c>
      <c r="CY11" s="66">
        <v>6</v>
      </c>
      <c r="CZ11" s="66">
        <v>17</v>
      </c>
      <c r="DA11" s="66">
        <v>13</v>
      </c>
      <c r="DB11" s="66">
        <v>0</v>
      </c>
      <c r="DC11" s="66">
        <v>0</v>
      </c>
      <c r="DD11" s="66">
        <v>0</v>
      </c>
      <c r="DE11" s="66">
        <v>0</v>
      </c>
      <c r="DF11" s="66">
        <v>0</v>
      </c>
      <c r="DG11" s="66">
        <v>0</v>
      </c>
      <c r="DH11" s="66">
        <v>0</v>
      </c>
      <c r="DI11" s="66">
        <v>0</v>
      </c>
      <c r="DJ11" s="66">
        <v>0</v>
      </c>
      <c r="DK11" s="66">
        <v>0</v>
      </c>
      <c r="DL11" s="66">
        <v>0</v>
      </c>
      <c r="DM11" s="66">
        <v>7</v>
      </c>
      <c r="DN11" s="66">
        <v>0</v>
      </c>
      <c r="DO11" s="66">
        <v>3</v>
      </c>
      <c r="DP11" s="66">
        <v>6</v>
      </c>
      <c r="DQ11" s="66">
        <v>0</v>
      </c>
      <c r="DR11" s="66">
        <v>4</v>
      </c>
      <c r="DS11" s="66">
        <v>0</v>
      </c>
      <c r="DT11" s="66">
        <v>0</v>
      </c>
      <c r="DU11" s="66">
        <v>0</v>
      </c>
      <c r="DV11" s="66">
        <v>0</v>
      </c>
      <c r="DW11" s="66">
        <v>0</v>
      </c>
      <c r="DX11" s="66">
        <v>5</v>
      </c>
      <c r="DY11" s="66">
        <v>9</v>
      </c>
      <c r="DZ11" s="66">
        <v>0</v>
      </c>
      <c r="EA11" s="66">
        <v>0</v>
      </c>
      <c r="EB11" s="66">
        <v>0</v>
      </c>
      <c r="EC11" s="66">
        <v>0</v>
      </c>
      <c r="ED11" s="66">
        <v>4</v>
      </c>
      <c r="EE11" s="66">
        <v>8</v>
      </c>
      <c r="EF11" s="66">
        <v>0</v>
      </c>
      <c r="EG11" s="66">
        <v>0</v>
      </c>
      <c r="EH11" s="66">
        <v>0</v>
      </c>
      <c r="EI11" s="66">
        <v>0</v>
      </c>
      <c r="EJ11" s="66">
        <v>0</v>
      </c>
      <c r="EK11" s="66">
        <v>0</v>
      </c>
      <c r="EL11" s="66">
        <v>3</v>
      </c>
      <c r="EM11" s="66">
        <v>0</v>
      </c>
      <c r="EN11" s="66">
        <v>0</v>
      </c>
      <c r="EO11" s="66">
        <v>0</v>
      </c>
      <c r="EP11" s="66">
        <v>3</v>
      </c>
      <c r="EQ11" s="66">
        <v>0</v>
      </c>
      <c r="ER11" s="66">
        <v>0</v>
      </c>
      <c r="ES11" s="66">
        <v>0</v>
      </c>
      <c r="ET11" s="66">
        <v>0</v>
      </c>
      <c r="EU11" s="66">
        <v>0</v>
      </c>
      <c r="EV11" s="66">
        <v>0</v>
      </c>
    </row>
    <row r="12" spans="1:152">
      <c r="A12" s="1" t="s">
        <v>668</v>
      </c>
      <c r="B12" s="1" t="s">
        <v>796</v>
      </c>
      <c r="C12" s="1" t="s">
        <v>788</v>
      </c>
      <c r="D12" s="1" t="s">
        <v>685</v>
      </c>
      <c r="E12" s="1" t="s">
        <v>685</v>
      </c>
      <c r="F12" s="1" t="s">
        <v>3028</v>
      </c>
      <c r="G12" s="77">
        <f t="shared" si="0"/>
        <v>120475</v>
      </c>
      <c r="H12" s="66">
        <v>208</v>
      </c>
      <c r="I12" s="66">
        <v>72</v>
      </c>
      <c r="J12" s="66">
        <v>115997</v>
      </c>
      <c r="K12" s="66">
        <v>16</v>
      </c>
      <c r="L12" s="66">
        <v>37</v>
      </c>
      <c r="M12" s="66">
        <v>0</v>
      </c>
      <c r="N12" s="66">
        <v>4</v>
      </c>
      <c r="O12" s="66">
        <v>89</v>
      </c>
      <c r="P12" s="66">
        <v>0</v>
      </c>
      <c r="Q12" s="66">
        <v>2</v>
      </c>
      <c r="R12" s="66">
        <v>1</v>
      </c>
      <c r="S12" s="66">
        <v>0</v>
      </c>
      <c r="T12" s="66">
        <v>0</v>
      </c>
      <c r="U12" s="66">
        <v>1</v>
      </c>
      <c r="V12" s="66">
        <v>0</v>
      </c>
      <c r="W12" s="66">
        <v>0</v>
      </c>
      <c r="X12" s="66">
        <v>0</v>
      </c>
      <c r="Y12" s="66">
        <v>0</v>
      </c>
      <c r="Z12" s="66">
        <v>610</v>
      </c>
      <c r="AA12" s="66">
        <v>0</v>
      </c>
      <c r="AB12" s="66">
        <v>0</v>
      </c>
      <c r="AC12" s="66">
        <v>0</v>
      </c>
      <c r="AD12" s="66">
        <v>0</v>
      </c>
      <c r="AE12" s="66">
        <v>442</v>
      </c>
      <c r="AF12" s="66">
        <v>0</v>
      </c>
      <c r="AG12" s="66">
        <v>0</v>
      </c>
      <c r="AH12" s="66">
        <v>1</v>
      </c>
      <c r="AI12" s="66">
        <v>0</v>
      </c>
      <c r="AJ12" s="66">
        <v>6</v>
      </c>
      <c r="AK12" s="66">
        <v>73</v>
      </c>
      <c r="AL12" s="66">
        <v>0</v>
      </c>
      <c r="AM12" s="66">
        <v>239</v>
      </c>
      <c r="AN12" s="66">
        <v>0</v>
      </c>
      <c r="AO12" s="66">
        <v>2</v>
      </c>
      <c r="AP12" s="66">
        <v>0</v>
      </c>
      <c r="AQ12" s="66">
        <v>176</v>
      </c>
      <c r="AR12" s="66">
        <v>2</v>
      </c>
      <c r="AS12" s="66">
        <v>0</v>
      </c>
      <c r="AT12" s="66">
        <v>162</v>
      </c>
      <c r="AU12" s="66">
        <v>140</v>
      </c>
      <c r="AV12" s="66">
        <v>0</v>
      </c>
      <c r="AW12" s="66">
        <v>135</v>
      </c>
      <c r="AX12" s="66">
        <v>126</v>
      </c>
      <c r="AY12" s="66">
        <v>118</v>
      </c>
      <c r="AZ12" s="66">
        <v>0</v>
      </c>
      <c r="BA12" s="66">
        <v>116</v>
      </c>
      <c r="BB12" s="66">
        <v>4</v>
      </c>
      <c r="BC12" s="66">
        <v>103</v>
      </c>
      <c r="BD12" s="66">
        <v>101</v>
      </c>
      <c r="BE12" s="66">
        <v>100</v>
      </c>
      <c r="BF12" s="66">
        <v>0</v>
      </c>
      <c r="BG12" s="66">
        <v>0</v>
      </c>
      <c r="BH12" s="66">
        <v>96</v>
      </c>
      <c r="BI12" s="66">
        <v>0</v>
      </c>
      <c r="BJ12" s="66">
        <v>92</v>
      </c>
      <c r="BK12" s="66">
        <v>92</v>
      </c>
      <c r="BL12" s="66">
        <v>0</v>
      </c>
      <c r="BM12" s="66">
        <v>0</v>
      </c>
      <c r="BN12" s="66">
        <v>70</v>
      </c>
      <c r="BO12" s="66">
        <v>37</v>
      </c>
      <c r="BP12" s="66">
        <v>0</v>
      </c>
      <c r="BQ12" s="66">
        <v>71</v>
      </c>
      <c r="BR12" s="66">
        <v>66</v>
      </c>
      <c r="BS12" s="66">
        <v>66</v>
      </c>
      <c r="BT12" s="66">
        <v>3</v>
      </c>
      <c r="BU12" s="66">
        <v>58</v>
      </c>
      <c r="BV12" s="66">
        <v>54</v>
      </c>
      <c r="BW12" s="66">
        <v>3</v>
      </c>
      <c r="BX12" s="66">
        <v>0</v>
      </c>
      <c r="BY12" s="66">
        <v>45</v>
      </c>
      <c r="BZ12" s="66">
        <v>0</v>
      </c>
      <c r="CA12" s="66">
        <v>41</v>
      </c>
      <c r="CB12" s="66">
        <v>39</v>
      </c>
      <c r="CC12" s="66">
        <v>39</v>
      </c>
      <c r="CD12" s="66">
        <v>0</v>
      </c>
      <c r="CE12" s="66">
        <v>37</v>
      </c>
      <c r="CF12" s="66">
        <v>30</v>
      </c>
      <c r="CG12" s="66">
        <v>0</v>
      </c>
      <c r="CH12" s="66">
        <v>0</v>
      </c>
      <c r="CI12" s="66">
        <v>0</v>
      </c>
      <c r="CJ12" s="66">
        <v>0</v>
      </c>
      <c r="CK12" s="66">
        <v>0</v>
      </c>
      <c r="CL12" s="66">
        <v>26</v>
      </c>
      <c r="CM12" s="66">
        <v>32</v>
      </c>
      <c r="CN12" s="66">
        <v>0</v>
      </c>
      <c r="CO12" s="66">
        <v>31</v>
      </c>
      <c r="CP12" s="66">
        <v>31</v>
      </c>
      <c r="CQ12" s="66">
        <v>30</v>
      </c>
      <c r="CR12" s="66">
        <v>29</v>
      </c>
      <c r="CS12" s="66">
        <v>28</v>
      </c>
      <c r="CT12" s="66">
        <v>6</v>
      </c>
      <c r="CU12" s="66">
        <v>27</v>
      </c>
      <c r="CV12" s="66">
        <v>0</v>
      </c>
      <c r="CW12" s="66">
        <v>24</v>
      </c>
      <c r="CX12" s="66">
        <v>0</v>
      </c>
      <c r="CY12" s="66">
        <v>0</v>
      </c>
      <c r="CZ12" s="66">
        <v>1</v>
      </c>
      <c r="DA12" s="66">
        <v>0</v>
      </c>
      <c r="DB12" s="66">
        <v>21</v>
      </c>
      <c r="DC12" s="66">
        <v>3</v>
      </c>
      <c r="DD12" s="66">
        <v>20</v>
      </c>
      <c r="DE12" s="66">
        <v>19</v>
      </c>
      <c r="DF12" s="66">
        <v>19</v>
      </c>
      <c r="DG12" s="66">
        <v>15</v>
      </c>
      <c r="DH12" s="66">
        <v>18</v>
      </c>
      <c r="DI12" s="66">
        <v>17</v>
      </c>
      <c r="DJ12" s="66">
        <v>0</v>
      </c>
      <c r="DK12" s="66">
        <v>0</v>
      </c>
      <c r="DL12" s="66">
        <v>1</v>
      </c>
      <c r="DM12" s="66">
        <v>0</v>
      </c>
      <c r="DN12" s="66">
        <v>14</v>
      </c>
      <c r="DO12" s="66">
        <v>0</v>
      </c>
      <c r="DP12" s="66">
        <v>0</v>
      </c>
      <c r="DQ12" s="66">
        <v>0</v>
      </c>
      <c r="DR12" s="66">
        <v>0</v>
      </c>
      <c r="DS12" s="66">
        <v>0</v>
      </c>
      <c r="DT12" s="66">
        <v>0</v>
      </c>
      <c r="DU12" s="66">
        <v>12</v>
      </c>
      <c r="DV12" s="66">
        <v>0</v>
      </c>
      <c r="DW12" s="66">
        <v>0</v>
      </c>
      <c r="DX12" s="66">
        <v>0</v>
      </c>
      <c r="DY12" s="66">
        <v>0</v>
      </c>
      <c r="DZ12" s="66">
        <v>0</v>
      </c>
      <c r="EA12" s="66">
        <v>0</v>
      </c>
      <c r="EB12" s="66">
        <v>0</v>
      </c>
      <c r="EC12" s="66">
        <v>0</v>
      </c>
      <c r="ED12" s="66">
        <v>0</v>
      </c>
      <c r="EE12" s="66">
        <v>1</v>
      </c>
      <c r="EF12" s="66">
        <v>9</v>
      </c>
      <c r="EG12" s="66">
        <v>0</v>
      </c>
      <c r="EH12" s="66">
        <v>8</v>
      </c>
      <c r="EI12" s="66">
        <v>0</v>
      </c>
      <c r="EJ12" s="66">
        <v>6</v>
      </c>
      <c r="EK12" s="66">
        <v>0</v>
      </c>
      <c r="EL12" s="66">
        <v>1</v>
      </c>
      <c r="EM12" s="66">
        <v>4</v>
      </c>
      <c r="EN12" s="66">
        <v>0</v>
      </c>
      <c r="EO12" s="66">
        <v>0</v>
      </c>
      <c r="EP12" s="66">
        <v>0</v>
      </c>
      <c r="EQ12" s="66">
        <v>0</v>
      </c>
      <c r="ER12" s="66">
        <v>0</v>
      </c>
      <c r="ES12" s="66">
        <v>0</v>
      </c>
      <c r="ET12" s="66">
        <v>0</v>
      </c>
      <c r="EU12" s="66">
        <v>0</v>
      </c>
      <c r="EV12" s="66">
        <v>0</v>
      </c>
    </row>
    <row r="13" spans="1:152">
      <c r="A13" s="1" t="s">
        <v>667</v>
      </c>
      <c r="B13" s="1" t="s">
        <v>795</v>
      </c>
      <c r="C13" s="1" t="s">
        <v>785</v>
      </c>
      <c r="D13" s="1" t="s">
        <v>685</v>
      </c>
      <c r="E13" s="1" t="s">
        <v>685</v>
      </c>
      <c r="F13" s="1" t="s">
        <v>3028</v>
      </c>
      <c r="G13" s="77">
        <f t="shared" si="0"/>
        <v>617</v>
      </c>
      <c r="H13" s="66">
        <v>137</v>
      </c>
      <c r="I13" s="66">
        <v>185</v>
      </c>
      <c r="J13" s="66">
        <v>233</v>
      </c>
      <c r="K13" s="66">
        <v>1</v>
      </c>
      <c r="L13" s="66">
        <v>8</v>
      </c>
      <c r="M13" s="66">
        <v>20</v>
      </c>
      <c r="N13" s="66">
        <v>1</v>
      </c>
      <c r="O13" s="66">
        <v>10</v>
      </c>
      <c r="P13" s="66">
        <v>4</v>
      </c>
      <c r="Q13" s="66">
        <v>0</v>
      </c>
      <c r="R13" s="66">
        <v>0</v>
      </c>
      <c r="S13" s="66">
        <v>1</v>
      </c>
      <c r="T13" s="66">
        <v>2</v>
      </c>
      <c r="U13" s="66">
        <v>1</v>
      </c>
      <c r="V13" s="66">
        <v>0</v>
      </c>
      <c r="W13" s="66">
        <v>0</v>
      </c>
      <c r="X13" s="66">
        <v>0</v>
      </c>
      <c r="Y13" s="66">
        <v>0</v>
      </c>
      <c r="Z13" s="66">
        <v>0</v>
      </c>
      <c r="AA13" s="66">
        <v>0</v>
      </c>
      <c r="AB13" s="66">
        <v>1</v>
      </c>
      <c r="AC13" s="66">
        <v>0</v>
      </c>
      <c r="AD13" s="66">
        <v>0</v>
      </c>
      <c r="AE13" s="66">
        <v>0</v>
      </c>
      <c r="AF13" s="66">
        <v>0</v>
      </c>
      <c r="AG13" s="66">
        <v>1</v>
      </c>
      <c r="AH13" s="66">
        <v>1</v>
      </c>
      <c r="AI13" s="66">
        <v>0</v>
      </c>
      <c r="AJ13" s="66">
        <v>0</v>
      </c>
      <c r="AK13" s="66">
        <v>0</v>
      </c>
      <c r="AL13" s="66">
        <v>0</v>
      </c>
      <c r="AM13" s="66">
        <v>0</v>
      </c>
      <c r="AN13" s="66">
        <v>0</v>
      </c>
      <c r="AO13" s="66">
        <v>0</v>
      </c>
      <c r="AP13" s="66">
        <v>0</v>
      </c>
      <c r="AQ13" s="66">
        <v>0</v>
      </c>
      <c r="AR13" s="66">
        <v>3</v>
      </c>
      <c r="AS13" s="66">
        <v>0</v>
      </c>
      <c r="AT13" s="66">
        <v>0</v>
      </c>
      <c r="AU13" s="66">
        <v>0</v>
      </c>
      <c r="AV13" s="66">
        <v>1</v>
      </c>
      <c r="AW13" s="66">
        <v>1</v>
      </c>
      <c r="AX13" s="66">
        <v>0</v>
      </c>
      <c r="AY13" s="66">
        <v>0</v>
      </c>
      <c r="AZ13" s="66">
        <v>0</v>
      </c>
      <c r="BA13" s="66">
        <v>0</v>
      </c>
      <c r="BB13" s="66">
        <v>0</v>
      </c>
      <c r="BC13" s="66">
        <v>0</v>
      </c>
      <c r="BD13" s="66">
        <v>0</v>
      </c>
      <c r="BE13" s="66">
        <v>0</v>
      </c>
      <c r="BF13" s="66">
        <v>0</v>
      </c>
      <c r="BG13" s="66">
        <v>0</v>
      </c>
      <c r="BH13" s="66">
        <v>0</v>
      </c>
      <c r="BI13" s="66">
        <v>0</v>
      </c>
      <c r="BJ13" s="66">
        <v>0</v>
      </c>
      <c r="BK13" s="66">
        <v>0</v>
      </c>
      <c r="BL13" s="66">
        <v>0</v>
      </c>
      <c r="BM13" s="66">
        <v>0</v>
      </c>
      <c r="BN13" s="66">
        <v>0</v>
      </c>
      <c r="BO13" s="66">
        <v>0</v>
      </c>
      <c r="BP13" s="66">
        <v>1</v>
      </c>
      <c r="BQ13" s="66">
        <v>0</v>
      </c>
      <c r="BR13" s="66">
        <v>3</v>
      </c>
      <c r="BS13" s="66">
        <v>0</v>
      </c>
      <c r="BT13" s="66">
        <v>1</v>
      </c>
      <c r="BU13" s="66">
        <v>0</v>
      </c>
      <c r="BV13" s="66">
        <v>0</v>
      </c>
      <c r="BW13" s="66">
        <v>0</v>
      </c>
      <c r="BX13" s="66">
        <v>0</v>
      </c>
      <c r="BY13" s="66">
        <v>0</v>
      </c>
      <c r="BZ13" s="66">
        <v>0</v>
      </c>
      <c r="CA13" s="66">
        <v>0</v>
      </c>
      <c r="CB13" s="66">
        <v>0</v>
      </c>
      <c r="CC13" s="66">
        <v>0</v>
      </c>
      <c r="CD13" s="66">
        <v>1</v>
      </c>
      <c r="CE13" s="66">
        <v>0</v>
      </c>
      <c r="CF13" s="66">
        <v>0</v>
      </c>
      <c r="CG13" s="66">
        <v>0</v>
      </c>
      <c r="CH13" s="66">
        <v>0</v>
      </c>
      <c r="CI13" s="66">
        <v>0</v>
      </c>
      <c r="CJ13" s="66">
        <v>0</v>
      </c>
      <c r="CK13" s="66">
        <v>0</v>
      </c>
      <c r="CL13" s="66">
        <v>0</v>
      </c>
      <c r="CM13" s="66">
        <v>0</v>
      </c>
      <c r="CN13" s="66">
        <v>0</v>
      </c>
      <c r="CO13" s="66">
        <v>0</v>
      </c>
      <c r="CP13" s="66">
        <v>0</v>
      </c>
      <c r="CQ13" s="66">
        <v>0</v>
      </c>
      <c r="CR13" s="66">
        <v>0</v>
      </c>
      <c r="CS13" s="66">
        <v>0</v>
      </c>
      <c r="CT13" s="66">
        <v>0</v>
      </c>
      <c r="CU13" s="66">
        <v>0</v>
      </c>
      <c r="CV13" s="66">
        <v>0</v>
      </c>
      <c r="CW13" s="66">
        <v>0</v>
      </c>
      <c r="CX13" s="66">
        <v>0</v>
      </c>
      <c r="CY13" s="66">
        <v>0</v>
      </c>
      <c r="CZ13" s="66">
        <v>0</v>
      </c>
      <c r="DA13" s="66">
        <v>0</v>
      </c>
      <c r="DB13" s="66">
        <v>0</v>
      </c>
      <c r="DC13" s="66">
        <v>0</v>
      </c>
      <c r="DD13" s="66">
        <v>0</v>
      </c>
      <c r="DE13" s="66">
        <v>0</v>
      </c>
      <c r="DF13" s="66">
        <v>0</v>
      </c>
      <c r="DG13" s="66">
        <v>0</v>
      </c>
      <c r="DH13" s="66">
        <v>0</v>
      </c>
      <c r="DI13" s="66">
        <v>0</v>
      </c>
      <c r="DJ13" s="66">
        <v>0</v>
      </c>
      <c r="DK13" s="66">
        <v>0</v>
      </c>
      <c r="DL13" s="66">
        <v>0</v>
      </c>
      <c r="DM13" s="66">
        <v>0</v>
      </c>
      <c r="DN13" s="66">
        <v>0</v>
      </c>
      <c r="DO13" s="66">
        <v>0</v>
      </c>
      <c r="DP13" s="66">
        <v>0</v>
      </c>
      <c r="DQ13" s="66">
        <v>0</v>
      </c>
      <c r="DR13" s="66">
        <v>0</v>
      </c>
      <c r="DS13" s="66">
        <v>0</v>
      </c>
      <c r="DT13" s="66">
        <v>0</v>
      </c>
      <c r="DU13" s="66">
        <v>0</v>
      </c>
      <c r="DV13" s="66">
        <v>0</v>
      </c>
      <c r="DW13" s="66">
        <v>0</v>
      </c>
      <c r="DX13" s="66">
        <v>0</v>
      </c>
      <c r="DY13" s="66">
        <v>0</v>
      </c>
      <c r="DZ13" s="66">
        <v>0</v>
      </c>
      <c r="EA13" s="66">
        <v>0</v>
      </c>
      <c r="EB13" s="66">
        <v>0</v>
      </c>
      <c r="EC13" s="66">
        <v>0</v>
      </c>
      <c r="ED13" s="66">
        <v>0</v>
      </c>
      <c r="EE13" s="66">
        <v>0</v>
      </c>
      <c r="EF13" s="66">
        <v>0</v>
      </c>
      <c r="EG13" s="66">
        <v>0</v>
      </c>
      <c r="EH13" s="66">
        <v>0</v>
      </c>
      <c r="EI13" s="66">
        <v>0</v>
      </c>
      <c r="EJ13" s="66">
        <v>0</v>
      </c>
      <c r="EK13" s="66">
        <v>0</v>
      </c>
      <c r="EL13" s="66">
        <v>0</v>
      </c>
      <c r="EM13" s="66">
        <v>0</v>
      </c>
      <c r="EN13" s="66">
        <v>0</v>
      </c>
      <c r="EO13" s="66">
        <v>0</v>
      </c>
      <c r="EP13" s="66">
        <v>0</v>
      </c>
      <c r="EQ13" s="66">
        <v>0</v>
      </c>
      <c r="ER13" s="66">
        <v>0</v>
      </c>
      <c r="ES13" s="66">
        <v>0</v>
      </c>
      <c r="ET13" s="66">
        <v>0</v>
      </c>
      <c r="EU13" s="66">
        <v>0</v>
      </c>
      <c r="EV13" s="66">
        <v>0</v>
      </c>
    </row>
    <row r="14" spans="1:152">
      <c r="A14" s="1" t="s">
        <v>690</v>
      </c>
      <c r="B14" s="1" t="s">
        <v>794</v>
      </c>
      <c r="C14" s="1" t="s">
        <v>788</v>
      </c>
      <c r="D14" s="1">
        <v>114.29510000000001</v>
      </c>
      <c r="E14" s="1">
        <v>22.340879999999999</v>
      </c>
      <c r="F14" s="1" t="s">
        <v>3028</v>
      </c>
      <c r="G14" s="77">
        <f t="shared" si="0"/>
        <v>0</v>
      </c>
      <c r="H14" s="66">
        <v>0</v>
      </c>
      <c r="I14" s="66">
        <v>0</v>
      </c>
      <c r="J14" s="66">
        <v>0</v>
      </c>
      <c r="K14" s="66">
        <v>0</v>
      </c>
      <c r="L14" s="66">
        <v>0</v>
      </c>
      <c r="M14" s="66">
        <v>0</v>
      </c>
      <c r="N14" s="66">
        <v>0</v>
      </c>
      <c r="O14" s="66">
        <v>0</v>
      </c>
      <c r="P14" s="66">
        <v>0</v>
      </c>
      <c r="Q14" s="66">
        <v>0</v>
      </c>
      <c r="R14" s="66">
        <v>0</v>
      </c>
      <c r="S14" s="66">
        <v>0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66">
        <v>0</v>
      </c>
      <c r="AA14" s="66">
        <v>0</v>
      </c>
      <c r="AB14" s="66">
        <v>0</v>
      </c>
      <c r="AC14" s="66">
        <v>0</v>
      </c>
      <c r="AD14" s="66">
        <v>0</v>
      </c>
      <c r="AE14" s="66">
        <v>0</v>
      </c>
      <c r="AF14" s="66">
        <v>0</v>
      </c>
      <c r="AG14" s="66">
        <v>0</v>
      </c>
      <c r="AH14" s="66">
        <v>0</v>
      </c>
      <c r="AI14" s="66">
        <v>0</v>
      </c>
      <c r="AJ14" s="66">
        <v>0</v>
      </c>
      <c r="AK14" s="66">
        <v>0</v>
      </c>
      <c r="AL14" s="66">
        <v>0</v>
      </c>
      <c r="AM14" s="66">
        <v>0</v>
      </c>
      <c r="AN14" s="66">
        <v>0</v>
      </c>
      <c r="AO14" s="66">
        <v>0</v>
      </c>
      <c r="AP14" s="66">
        <v>0</v>
      </c>
      <c r="AQ14" s="66">
        <v>0</v>
      </c>
      <c r="AR14" s="66">
        <v>0</v>
      </c>
      <c r="AS14" s="66">
        <v>0</v>
      </c>
      <c r="AT14" s="66">
        <v>0</v>
      </c>
      <c r="AU14" s="66">
        <v>0</v>
      </c>
      <c r="AV14" s="66">
        <v>0</v>
      </c>
      <c r="AW14" s="66">
        <v>0</v>
      </c>
      <c r="AX14" s="66">
        <v>0</v>
      </c>
      <c r="AY14" s="66">
        <v>0</v>
      </c>
      <c r="AZ14" s="66">
        <v>0</v>
      </c>
      <c r="BA14" s="66">
        <v>0</v>
      </c>
      <c r="BB14" s="66">
        <v>0</v>
      </c>
      <c r="BC14" s="66">
        <v>0</v>
      </c>
      <c r="BD14" s="66">
        <v>0</v>
      </c>
      <c r="BE14" s="66">
        <v>0</v>
      </c>
      <c r="BF14" s="66">
        <v>0</v>
      </c>
      <c r="BG14" s="66">
        <v>0</v>
      </c>
      <c r="BH14" s="66">
        <v>0</v>
      </c>
      <c r="BI14" s="66">
        <v>0</v>
      </c>
      <c r="BJ14" s="66">
        <v>0</v>
      </c>
      <c r="BK14" s="66">
        <v>0</v>
      </c>
      <c r="BL14" s="66">
        <v>0</v>
      </c>
      <c r="BM14" s="66">
        <v>0</v>
      </c>
      <c r="BN14" s="66">
        <v>0</v>
      </c>
      <c r="BO14" s="66">
        <v>0</v>
      </c>
      <c r="BP14" s="66">
        <v>0</v>
      </c>
      <c r="BQ14" s="66">
        <v>0</v>
      </c>
      <c r="BR14" s="66">
        <v>0</v>
      </c>
      <c r="BS14" s="66">
        <v>0</v>
      </c>
      <c r="BT14" s="66">
        <v>0</v>
      </c>
      <c r="BU14" s="66">
        <v>0</v>
      </c>
      <c r="BV14" s="66">
        <v>0</v>
      </c>
      <c r="BW14" s="66">
        <v>0</v>
      </c>
      <c r="BX14" s="66">
        <v>0</v>
      </c>
      <c r="BY14" s="66">
        <v>0</v>
      </c>
      <c r="BZ14" s="66">
        <v>0</v>
      </c>
      <c r="CA14" s="66">
        <v>0</v>
      </c>
      <c r="CB14" s="66">
        <v>0</v>
      </c>
      <c r="CC14" s="66">
        <v>0</v>
      </c>
      <c r="CD14" s="66">
        <v>0</v>
      </c>
      <c r="CE14" s="66">
        <v>0</v>
      </c>
      <c r="CF14" s="66">
        <v>0</v>
      </c>
      <c r="CG14" s="66">
        <v>0</v>
      </c>
      <c r="CH14" s="66">
        <v>0</v>
      </c>
      <c r="CI14" s="66">
        <v>0</v>
      </c>
      <c r="CJ14" s="66">
        <v>0</v>
      </c>
      <c r="CK14" s="66">
        <v>0</v>
      </c>
      <c r="CL14" s="66">
        <v>0</v>
      </c>
      <c r="CM14" s="66">
        <v>0</v>
      </c>
      <c r="CN14" s="66">
        <v>0</v>
      </c>
      <c r="CO14" s="66">
        <v>0</v>
      </c>
      <c r="CP14" s="66">
        <v>0</v>
      </c>
      <c r="CQ14" s="66">
        <v>0</v>
      </c>
      <c r="CR14" s="66">
        <v>0</v>
      </c>
      <c r="CS14" s="66">
        <v>0</v>
      </c>
      <c r="CT14" s="66">
        <v>0</v>
      </c>
      <c r="CU14" s="66">
        <v>0</v>
      </c>
      <c r="CV14" s="66">
        <v>0</v>
      </c>
      <c r="CW14" s="66">
        <v>0</v>
      </c>
      <c r="CX14" s="66">
        <v>0</v>
      </c>
      <c r="CY14" s="66">
        <v>0</v>
      </c>
      <c r="CZ14" s="66">
        <v>0</v>
      </c>
      <c r="DA14" s="66">
        <v>0</v>
      </c>
      <c r="DB14" s="66">
        <v>0</v>
      </c>
      <c r="DC14" s="66">
        <v>0</v>
      </c>
      <c r="DD14" s="66">
        <v>0</v>
      </c>
      <c r="DE14" s="66">
        <v>0</v>
      </c>
      <c r="DF14" s="66">
        <v>0</v>
      </c>
      <c r="DG14" s="66">
        <v>0</v>
      </c>
      <c r="DH14" s="66">
        <v>0</v>
      </c>
      <c r="DI14" s="66">
        <v>0</v>
      </c>
      <c r="DJ14" s="66">
        <v>0</v>
      </c>
      <c r="DK14" s="66">
        <v>0</v>
      </c>
      <c r="DL14" s="66">
        <v>0</v>
      </c>
      <c r="DM14" s="66">
        <v>0</v>
      </c>
      <c r="DN14" s="66">
        <v>0</v>
      </c>
      <c r="DO14" s="66">
        <v>0</v>
      </c>
      <c r="DP14" s="66">
        <v>0</v>
      </c>
      <c r="DQ14" s="66">
        <v>0</v>
      </c>
      <c r="DR14" s="66">
        <v>0</v>
      </c>
      <c r="DS14" s="66">
        <v>0</v>
      </c>
      <c r="DT14" s="66">
        <v>0</v>
      </c>
      <c r="DU14" s="66">
        <v>0</v>
      </c>
      <c r="DV14" s="66">
        <v>0</v>
      </c>
      <c r="DW14" s="66">
        <v>0</v>
      </c>
      <c r="DX14" s="66">
        <v>0</v>
      </c>
      <c r="DY14" s="66">
        <v>0</v>
      </c>
      <c r="DZ14" s="66">
        <v>0</v>
      </c>
      <c r="EA14" s="66">
        <v>0</v>
      </c>
      <c r="EB14" s="66">
        <v>0</v>
      </c>
      <c r="EC14" s="66">
        <v>0</v>
      </c>
      <c r="ED14" s="66">
        <v>0</v>
      </c>
      <c r="EE14" s="66">
        <v>0</v>
      </c>
      <c r="EF14" s="66">
        <v>0</v>
      </c>
      <c r="EG14" s="66">
        <v>0</v>
      </c>
      <c r="EH14" s="66">
        <v>0</v>
      </c>
      <c r="EI14" s="66">
        <v>0</v>
      </c>
      <c r="EJ14" s="66">
        <v>0</v>
      </c>
      <c r="EK14" s="66">
        <v>0</v>
      </c>
      <c r="EL14" s="66">
        <v>0</v>
      </c>
      <c r="EM14" s="66">
        <v>0</v>
      </c>
      <c r="EN14" s="66">
        <v>0</v>
      </c>
      <c r="EO14" s="66">
        <v>0</v>
      </c>
      <c r="EP14" s="66">
        <v>0</v>
      </c>
      <c r="EQ14" s="66">
        <v>0</v>
      </c>
      <c r="ER14" s="66">
        <v>0</v>
      </c>
      <c r="ES14" s="66">
        <v>0</v>
      </c>
      <c r="ET14" s="66">
        <v>0</v>
      </c>
      <c r="EU14" s="66">
        <v>0</v>
      </c>
      <c r="EV14" s="66">
        <v>0</v>
      </c>
    </row>
    <row r="15" spans="1:152">
      <c r="A15" s="1" t="s">
        <v>689</v>
      </c>
      <c r="B15" s="1" t="s">
        <v>793</v>
      </c>
      <c r="C15" s="1" t="s">
        <v>788</v>
      </c>
      <c r="D15" s="1">
        <v>114.29510000000001</v>
      </c>
      <c r="E15" s="1">
        <v>22.340879999999999</v>
      </c>
      <c r="F15" s="1" t="s">
        <v>3028</v>
      </c>
      <c r="G15" s="77">
        <f t="shared" si="0"/>
        <v>0</v>
      </c>
      <c r="H15" s="66">
        <v>0</v>
      </c>
      <c r="I15" s="66">
        <v>0</v>
      </c>
      <c r="J15" s="66">
        <v>0</v>
      </c>
      <c r="K15" s="66">
        <v>0</v>
      </c>
      <c r="L15" s="66">
        <v>0</v>
      </c>
      <c r="M15" s="66">
        <v>0</v>
      </c>
      <c r="N15" s="66">
        <v>0</v>
      </c>
      <c r="O15" s="66">
        <v>0</v>
      </c>
      <c r="P15" s="66">
        <v>0</v>
      </c>
      <c r="Q15" s="66">
        <v>0</v>
      </c>
      <c r="R15" s="66">
        <v>0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66">
        <v>0</v>
      </c>
      <c r="AA15" s="66">
        <v>0</v>
      </c>
      <c r="AB15" s="66">
        <v>0</v>
      </c>
      <c r="AC15" s="66">
        <v>0</v>
      </c>
      <c r="AD15" s="66">
        <v>0</v>
      </c>
      <c r="AE15" s="66">
        <v>0</v>
      </c>
      <c r="AF15" s="66">
        <v>0</v>
      </c>
      <c r="AG15" s="66">
        <v>0</v>
      </c>
      <c r="AH15" s="66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6">
        <v>0</v>
      </c>
      <c r="AU15" s="66">
        <v>0</v>
      </c>
      <c r="AV15" s="66">
        <v>0</v>
      </c>
      <c r="AW15" s="66">
        <v>0</v>
      </c>
      <c r="AX15" s="66">
        <v>0</v>
      </c>
      <c r="AY15" s="66">
        <v>0</v>
      </c>
      <c r="AZ15" s="66">
        <v>0</v>
      </c>
      <c r="BA15" s="66">
        <v>0</v>
      </c>
      <c r="BB15" s="66">
        <v>0</v>
      </c>
      <c r="BC15" s="66">
        <v>0</v>
      </c>
      <c r="BD15" s="66">
        <v>0</v>
      </c>
      <c r="BE15" s="66">
        <v>0</v>
      </c>
      <c r="BF15" s="66">
        <v>0</v>
      </c>
      <c r="BG15" s="66">
        <v>0</v>
      </c>
      <c r="BH15" s="66">
        <v>0</v>
      </c>
      <c r="BI15" s="66">
        <v>0</v>
      </c>
      <c r="BJ15" s="66">
        <v>0</v>
      </c>
      <c r="BK15" s="66">
        <v>0</v>
      </c>
      <c r="BL15" s="66">
        <v>0</v>
      </c>
      <c r="BM15" s="66">
        <v>0</v>
      </c>
      <c r="BN15" s="66">
        <v>0</v>
      </c>
      <c r="BO15" s="66">
        <v>0</v>
      </c>
      <c r="BP15" s="66">
        <v>0</v>
      </c>
      <c r="BQ15" s="66">
        <v>0</v>
      </c>
      <c r="BR15" s="66">
        <v>0</v>
      </c>
      <c r="BS15" s="66">
        <v>0</v>
      </c>
      <c r="BT15" s="66">
        <v>0</v>
      </c>
      <c r="BU15" s="66">
        <v>0</v>
      </c>
      <c r="BV15" s="66">
        <v>0</v>
      </c>
      <c r="BW15" s="66">
        <v>0</v>
      </c>
      <c r="BX15" s="66">
        <v>0</v>
      </c>
      <c r="BY15" s="66">
        <v>0</v>
      </c>
      <c r="BZ15" s="66">
        <v>0</v>
      </c>
      <c r="CA15" s="66">
        <v>0</v>
      </c>
      <c r="CB15" s="66">
        <v>0</v>
      </c>
      <c r="CC15" s="66">
        <v>0</v>
      </c>
      <c r="CD15" s="66">
        <v>0</v>
      </c>
      <c r="CE15" s="66">
        <v>0</v>
      </c>
      <c r="CF15" s="66">
        <v>0</v>
      </c>
      <c r="CG15" s="66">
        <v>0</v>
      </c>
      <c r="CH15" s="66">
        <v>0</v>
      </c>
      <c r="CI15" s="66">
        <v>0</v>
      </c>
      <c r="CJ15" s="66">
        <v>0</v>
      </c>
      <c r="CK15" s="66">
        <v>0</v>
      </c>
      <c r="CL15" s="66">
        <v>0</v>
      </c>
      <c r="CM15" s="66">
        <v>0</v>
      </c>
      <c r="CN15" s="66">
        <v>0</v>
      </c>
      <c r="CO15" s="66">
        <v>0</v>
      </c>
      <c r="CP15" s="66">
        <v>0</v>
      </c>
      <c r="CQ15" s="66">
        <v>0</v>
      </c>
      <c r="CR15" s="66">
        <v>0</v>
      </c>
      <c r="CS15" s="66">
        <v>0</v>
      </c>
      <c r="CT15" s="66">
        <v>0</v>
      </c>
      <c r="CU15" s="66">
        <v>0</v>
      </c>
      <c r="CV15" s="66">
        <v>0</v>
      </c>
      <c r="CW15" s="66">
        <v>0</v>
      </c>
      <c r="CX15" s="66">
        <v>0</v>
      </c>
      <c r="CY15" s="66">
        <v>0</v>
      </c>
      <c r="CZ15" s="66">
        <v>0</v>
      </c>
      <c r="DA15" s="66">
        <v>0</v>
      </c>
      <c r="DB15" s="66">
        <v>0</v>
      </c>
      <c r="DC15" s="66">
        <v>0</v>
      </c>
      <c r="DD15" s="66">
        <v>0</v>
      </c>
      <c r="DE15" s="66">
        <v>0</v>
      </c>
      <c r="DF15" s="66">
        <v>0</v>
      </c>
      <c r="DG15" s="66">
        <v>0</v>
      </c>
      <c r="DH15" s="66">
        <v>0</v>
      </c>
      <c r="DI15" s="66">
        <v>0</v>
      </c>
      <c r="DJ15" s="66">
        <v>0</v>
      </c>
      <c r="DK15" s="66">
        <v>0</v>
      </c>
      <c r="DL15" s="66">
        <v>0</v>
      </c>
      <c r="DM15" s="66">
        <v>0</v>
      </c>
      <c r="DN15" s="66">
        <v>0</v>
      </c>
      <c r="DO15" s="66">
        <v>0</v>
      </c>
      <c r="DP15" s="66">
        <v>0</v>
      </c>
      <c r="DQ15" s="66">
        <v>0</v>
      </c>
      <c r="DR15" s="66">
        <v>0</v>
      </c>
      <c r="DS15" s="66">
        <v>0</v>
      </c>
      <c r="DT15" s="66">
        <v>0</v>
      </c>
      <c r="DU15" s="66">
        <v>0</v>
      </c>
      <c r="DV15" s="66">
        <v>0</v>
      </c>
      <c r="DW15" s="66">
        <v>0</v>
      </c>
      <c r="DX15" s="66">
        <v>0</v>
      </c>
      <c r="DY15" s="66">
        <v>0</v>
      </c>
      <c r="DZ15" s="66">
        <v>0</v>
      </c>
      <c r="EA15" s="66">
        <v>0</v>
      </c>
      <c r="EB15" s="66">
        <v>0</v>
      </c>
      <c r="EC15" s="66">
        <v>0</v>
      </c>
      <c r="ED15" s="66">
        <v>0</v>
      </c>
      <c r="EE15" s="66">
        <v>0</v>
      </c>
      <c r="EF15" s="66">
        <v>0</v>
      </c>
      <c r="EG15" s="66">
        <v>0</v>
      </c>
      <c r="EH15" s="66">
        <v>0</v>
      </c>
      <c r="EI15" s="66">
        <v>0</v>
      </c>
      <c r="EJ15" s="66">
        <v>0</v>
      </c>
      <c r="EK15" s="66">
        <v>0</v>
      </c>
      <c r="EL15" s="66">
        <v>0</v>
      </c>
      <c r="EM15" s="66">
        <v>0</v>
      </c>
      <c r="EN15" s="66">
        <v>0</v>
      </c>
      <c r="EO15" s="66">
        <v>0</v>
      </c>
      <c r="EP15" s="66">
        <v>0</v>
      </c>
      <c r="EQ15" s="66">
        <v>0</v>
      </c>
      <c r="ER15" s="66">
        <v>0</v>
      </c>
      <c r="ES15" s="66">
        <v>0</v>
      </c>
      <c r="ET15" s="66">
        <v>0</v>
      </c>
      <c r="EU15" s="66">
        <v>0</v>
      </c>
      <c r="EV15" s="66">
        <v>0</v>
      </c>
    </row>
    <row r="16" spans="1:152">
      <c r="A16" s="1" t="s">
        <v>688</v>
      </c>
      <c r="B16" s="1" t="s">
        <v>792</v>
      </c>
      <c r="C16" s="1" t="s">
        <v>785</v>
      </c>
      <c r="D16" s="1" t="s">
        <v>685</v>
      </c>
      <c r="E16" s="1" t="s">
        <v>685</v>
      </c>
      <c r="F16" s="1" t="s">
        <v>3028</v>
      </c>
      <c r="G16" s="77">
        <f t="shared" si="0"/>
        <v>0</v>
      </c>
      <c r="H16" s="66">
        <v>0</v>
      </c>
      <c r="I16" s="66">
        <v>0</v>
      </c>
      <c r="J16" s="66">
        <v>0</v>
      </c>
      <c r="K16" s="66">
        <v>0</v>
      </c>
      <c r="L16" s="66">
        <v>0</v>
      </c>
      <c r="M16" s="66">
        <v>0</v>
      </c>
      <c r="N16" s="66">
        <v>0</v>
      </c>
      <c r="O16" s="66">
        <v>0</v>
      </c>
      <c r="P16" s="66">
        <v>0</v>
      </c>
      <c r="Q16" s="66">
        <v>0</v>
      </c>
      <c r="R16" s="66">
        <v>0</v>
      </c>
      <c r="S16" s="66">
        <v>0</v>
      </c>
      <c r="T16" s="66">
        <v>0</v>
      </c>
      <c r="U16" s="66">
        <v>0</v>
      </c>
      <c r="V16" s="66">
        <v>0</v>
      </c>
      <c r="W16" s="66">
        <v>0</v>
      </c>
      <c r="X16" s="66">
        <v>0</v>
      </c>
      <c r="Y16" s="66">
        <v>0</v>
      </c>
      <c r="Z16" s="66">
        <v>0</v>
      </c>
      <c r="AA16" s="66">
        <v>0</v>
      </c>
      <c r="AB16" s="66">
        <v>0</v>
      </c>
      <c r="AC16" s="66">
        <v>0</v>
      </c>
      <c r="AD16" s="66">
        <v>0</v>
      </c>
      <c r="AE16" s="66">
        <v>0</v>
      </c>
      <c r="AF16" s="66">
        <v>0</v>
      </c>
      <c r="AG16" s="66">
        <v>0</v>
      </c>
      <c r="AH16" s="66">
        <v>0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0</v>
      </c>
      <c r="AR16" s="66">
        <v>0</v>
      </c>
      <c r="AS16" s="66">
        <v>0</v>
      </c>
      <c r="AT16" s="66">
        <v>0</v>
      </c>
      <c r="AU16" s="66">
        <v>0</v>
      </c>
      <c r="AV16" s="66">
        <v>0</v>
      </c>
      <c r="AW16" s="66">
        <v>0</v>
      </c>
      <c r="AX16" s="66">
        <v>0</v>
      </c>
      <c r="AY16" s="66">
        <v>0</v>
      </c>
      <c r="AZ16" s="66">
        <v>0</v>
      </c>
      <c r="BA16" s="66">
        <v>0</v>
      </c>
      <c r="BB16" s="66">
        <v>0</v>
      </c>
      <c r="BC16" s="66">
        <v>0</v>
      </c>
      <c r="BD16" s="66">
        <v>0</v>
      </c>
      <c r="BE16" s="66">
        <v>0</v>
      </c>
      <c r="BF16" s="66">
        <v>0</v>
      </c>
      <c r="BG16" s="66">
        <v>0</v>
      </c>
      <c r="BH16" s="66">
        <v>0</v>
      </c>
      <c r="BI16" s="66">
        <v>0</v>
      </c>
      <c r="BJ16" s="66">
        <v>0</v>
      </c>
      <c r="BK16" s="66">
        <v>0</v>
      </c>
      <c r="BL16" s="66">
        <v>0</v>
      </c>
      <c r="BM16" s="66">
        <v>0</v>
      </c>
      <c r="BN16" s="66">
        <v>0</v>
      </c>
      <c r="BO16" s="66">
        <v>0</v>
      </c>
      <c r="BP16" s="66">
        <v>0</v>
      </c>
      <c r="BQ16" s="66">
        <v>0</v>
      </c>
      <c r="BR16" s="66">
        <v>0</v>
      </c>
      <c r="BS16" s="66">
        <v>0</v>
      </c>
      <c r="BT16" s="66">
        <v>0</v>
      </c>
      <c r="BU16" s="66">
        <v>0</v>
      </c>
      <c r="BV16" s="66">
        <v>0</v>
      </c>
      <c r="BW16" s="66">
        <v>0</v>
      </c>
      <c r="BX16" s="66">
        <v>0</v>
      </c>
      <c r="BY16" s="66">
        <v>0</v>
      </c>
      <c r="BZ16" s="66">
        <v>0</v>
      </c>
      <c r="CA16" s="66">
        <v>0</v>
      </c>
      <c r="CB16" s="66">
        <v>0</v>
      </c>
      <c r="CC16" s="66">
        <v>0</v>
      </c>
      <c r="CD16" s="66">
        <v>0</v>
      </c>
      <c r="CE16" s="66">
        <v>0</v>
      </c>
      <c r="CF16" s="66">
        <v>0</v>
      </c>
      <c r="CG16" s="66">
        <v>0</v>
      </c>
      <c r="CH16" s="66">
        <v>0</v>
      </c>
      <c r="CI16" s="66">
        <v>0</v>
      </c>
      <c r="CJ16" s="66">
        <v>0</v>
      </c>
      <c r="CK16" s="66">
        <v>0</v>
      </c>
      <c r="CL16" s="66">
        <v>0</v>
      </c>
      <c r="CM16" s="66">
        <v>0</v>
      </c>
      <c r="CN16" s="66">
        <v>0</v>
      </c>
      <c r="CO16" s="66">
        <v>0</v>
      </c>
      <c r="CP16" s="66">
        <v>0</v>
      </c>
      <c r="CQ16" s="66">
        <v>0</v>
      </c>
      <c r="CR16" s="66">
        <v>0</v>
      </c>
      <c r="CS16" s="66">
        <v>0</v>
      </c>
      <c r="CT16" s="66">
        <v>0</v>
      </c>
      <c r="CU16" s="66">
        <v>0</v>
      </c>
      <c r="CV16" s="66">
        <v>0</v>
      </c>
      <c r="CW16" s="66">
        <v>0</v>
      </c>
      <c r="CX16" s="66">
        <v>0</v>
      </c>
      <c r="CY16" s="66">
        <v>0</v>
      </c>
      <c r="CZ16" s="66">
        <v>0</v>
      </c>
      <c r="DA16" s="66">
        <v>0</v>
      </c>
      <c r="DB16" s="66">
        <v>0</v>
      </c>
      <c r="DC16" s="66">
        <v>0</v>
      </c>
      <c r="DD16" s="66">
        <v>0</v>
      </c>
      <c r="DE16" s="66">
        <v>0</v>
      </c>
      <c r="DF16" s="66">
        <v>0</v>
      </c>
      <c r="DG16" s="66">
        <v>0</v>
      </c>
      <c r="DH16" s="66">
        <v>0</v>
      </c>
      <c r="DI16" s="66">
        <v>0</v>
      </c>
      <c r="DJ16" s="66">
        <v>0</v>
      </c>
      <c r="DK16" s="66">
        <v>0</v>
      </c>
      <c r="DL16" s="66">
        <v>0</v>
      </c>
      <c r="DM16" s="66">
        <v>0</v>
      </c>
      <c r="DN16" s="66">
        <v>0</v>
      </c>
      <c r="DO16" s="66">
        <v>0</v>
      </c>
      <c r="DP16" s="66">
        <v>0</v>
      </c>
      <c r="DQ16" s="66">
        <v>0</v>
      </c>
      <c r="DR16" s="66">
        <v>0</v>
      </c>
      <c r="DS16" s="66">
        <v>0</v>
      </c>
      <c r="DT16" s="66">
        <v>0</v>
      </c>
      <c r="DU16" s="66">
        <v>0</v>
      </c>
      <c r="DV16" s="66">
        <v>0</v>
      </c>
      <c r="DW16" s="66">
        <v>0</v>
      </c>
      <c r="DX16" s="66">
        <v>0</v>
      </c>
      <c r="DY16" s="66">
        <v>0</v>
      </c>
      <c r="DZ16" s="66">
        <v>0</v>
      </c>
      <c r="EA16" s="66">
        <v>0</v>
      </c>
      <c r="EB16" s="66">
        <v>0</v>
      </c>
      <c r="EC16" s="66">
        <v>0</v>
      </c>
      <c r="ED16" s="66">
        <v>0</v>
      </c>
      <c r="EE16" s="66">
        <v>0</v>
      </c>
      <c r="EF16" s="66">
        <v>0</v>
      </c>
      <c r="EG16" s="66">
        <v>0</v>
      </c>
      <c r="EH16" s="66">
        <v>0</v>
      </c>
      <c r="EI16" s="66">
        <v>0</v>
      </c>
      <c r="EJ16" s="66">
        <v>0</v>
      </c>
      <c r="EK16" s="66">
        <v>0</v>
      </c>
      <c r="EL16" s="66">
        <v>0</v>
      </c>
      <c r="EM16" s="66">
        <v>0</v>
      </c>
      <c r="EN16" s="66">
        <v>0</v>
      </c>
      <c r="EO16" s="66">
        <v>0</v>
      </c>
      <c r="EP16" s="66">
        <v>0</v>
      </c>
      <c r="EQ16" s="66">
        <v>0</v>
      </c>
      <c r="ER16" s="66">
        <v>0</v>
      </c>
      <c r="ES16" s="66">
        <v>0</v>
      </c>
      <c r="ET16" s="66">
        <v>0</v>
      </c>
      <c r="EU16" s="66">
        <v>0</v>
      </c>
      <c r="EV16" s="66">
        <v>0</v>
      </c>
    </row>
    <row r="17" spans="1:152">
      <c r="A17" s="1" t="s">
        <v>687</v>
      </c>
      <c r="B17" s="1" t="s">
        <v>791</v>
      </c>
      <c r="C17" s="1" t="s">
        <v>785</v>
      </c>
      <c r="D17" s="1" t="s">
        <v>685</v>
      </c>
      <c r="E17" s="1" t="s">
        <v>685</v>
      </c>
      <c r="F17" s="1" t="s">
        <v>3028</v>
      </c>
      <c r="G17" s="77">
        <f t="shared" si="0"/>
        <v>0</v>
      </c>
      <c r="H17" s="66">
        <v>0</v>
      </c>
      <c r="I17" s="66">
        <v>0</v>
      </c>
      <c r="J17" s="66">
        <v>0</v>
      </c>
      <c r="K17" s="66">
        <v>0</v>
      </c>
      <c r="L17" s="66">
        <v>0</v>
      </c>
      <c r="M17" s="66">
        <v>0</v>
      </c>
      <c r="N17" s="66">
        <v>0</v>
      </c>
      <c r="O17" s="66">
        <v>0</v>
      </c>
      <c r="P17" s="66">
        <v>0</v>
      </c>
      <c r="Q17" s="66">
        <v>0</v>
      </c>
      <c r="R17" s="66">
        <v>0</v>
      </c>
      <c r="S17" s="66">
        <v>0</v>
      </c>
      <c r="T17" s="66">
        <v>0</v>
      </c>
      <c r="U17" s="66">
        <v>0</v>
      </c>
      <c r="V17" s="66">
        <v>0</v>
      </c>
      <c r="W17" s="66">
        <v>0</v>
      </c>
      <c r="X17" s="66">
        <v>0</v>
      </c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6">
        <v>0</v>
      </c>
      <c r="AU17" s="66">
        <v>0</v>
      </c>
      <c r="AV17" s="66">
        <v>0</v>
      </c>
      <c r="AW17" s="66">
        <v>0</v>
      </c>
      <c r="AX17" s="66">
        <v>0</v>
      </c>
      <c r="AY17" s="66">
        <v>0</v>
      </c>
      <c r="AZ17" s="66">
        <v>0</v>
      </c>
      <c r="BA17" s="66">
        <v>0</v>
      </c>
      <c r="BB17" s="66">
        <v>0</v>
      </c>
      <c r="BC17" s="66">
        <v>0</v>
      </c>
      <c r="BD17" s="66">
        <v>0</v>
      </c>
      <c r="BE17" s="66">
        <v>0</v>
      </c>
      <c r="BF17" s="66">
        <v>0</v>
      </c>
      <c r="BG17" s="66">
        <v>0</v>
      </c>
      <c r="BH17" s="66">
        <v>0</v>
      </c>
      <c r="BI17" s="66">
        <v>0</v>
      </c>
      <c r="BJ17" s="66">
        <v>0</v>
      </c>
      <c r="BK17" s="66">
        <v>0</v>
      </c>
      <c r="BL17" s="66">
        <v>0</v>
      </c>
      <c r="BM17" s="66">
        <v>0</v>
      </c>
      <c r="BN17" s="66">
        <v>0</v>
      </c>
      <c r="BO17" s="66">
        <v>0</v>
      </c>
      <c r="BP17" s="66">
        <v>0</v>
      </c>
      <c r="BQ17" s="66">
        <v>0</v>
      </c>
      <c r="BR17" s="66">
        <v>0</v>
      </c>
      <c r="BS17" s="66">
        <v>0</v>
      </c>
      <c r="BT17" s="66">
        <v>0</v>
      </c>
      <c r="BU17" s="66">
        <v>0</v>
      </c>
      <c r="BV17" s="66">
        <v>0</v>
      </c>
      <c r="BW17" s="66">
        <v>0</v>
      </c>
      <c r="BX17" s="66">
        <v>0</v>
      </c>
      <c r="BY17" s="66">
        <v>0</v>
      </c>
      <c r="BZ17" s="66">
        <v>0</v>
      </c>
      <c r="CA17" s="66">
        <v>0</v>
      </c>
      <c r="CB17" s="66">
        <v>0</v>
      </c>
      <c r="CC17" s="66">
        <v>0</v>
      </c>
      <c r="CD17" s="66">
        <v>0</v>
      </c>
      <c r="CE17" s="66">
        <v>0</v>
      </c>
      <c r="CF17" s="66">
        <v>0</v>
      </c>
      <c r="CG17" s="66">
        <v>0</v>
      </c>
      <c r="CH17" s="66">
        <v>0</v>
      </c>
      <c r="CI17" s="66">
        <v>0</v>
      </c>
      <c r="CJ17" s="66">
        <v>0</v>
      </c>
      <c r="CK17" s="66">
        <v>0</v>
      </c>
      <c r="CL17" s="66">
        <v>0</v>
      </c>
      <c r="CM17" s="66">
        <v>0</v>
      </c>
      <c r="CN17" s="66">
        <v>0</v>
      </c>
      <c r="CO17" s="66">
        <v>0</v>
      </c>
      <c r="CP17" s="66">
        <v>0</v>
      </c>
      <c r="CQ17" s="66">
        <v>0</v>
      </c>
      <c r="CR17" s="66">
        <v>0</v>
      </c>
      <c r="CS17" s="66">
        <v>0</v>
      </c>
      <c r="CT17" s="66">
        <v>0</v>
      </c>
      <c r="CU17" s="66">
        <v>0</v>
      </c>
      <c r="CV17" s="66">
        <v>0</v>
      </c>
      <c r="CW17" s="66">
        <v>0</v>
      </c>
      <c r="CX17" s="66">
        <v>0</v>
      </c>
      <c r="CY17" s="66">
        <v>0</v>
      </c>
      <c r="CZ17" s="66">
        <v>0</v>
      </c>
      <c r="DA17" s="66">
        <v>0</v>
      </c>
      <c r="DB17" s="66">
        <v>0</v>
      </c>
      <c r="DC17" s="66">
        <v>0</v>
      </c>
      <c r="DD17" s="66">
        <v>0</v>
      </c>
      <c r="DE17" s="66">
        <v>0</v>
      </c>
      <c r="DF17" s="66">
        <v>0</v>
      </c>
      <c r="DG17" s="66">
        <v>0</v>
      </c>
      <c r="DH17" s="66">
        <v>0</v>
      </c>
      <c r="DI17" s="66">
        <v>0</v>
      </c>
      <c r="DJ17" s="66">
        <v>0</v>
      </c>
      <c r="DK17" s="66">
        <v>0</v>
      </c>
      <c r="DL17" s="66">
        <v>0</v>
      </c>
      <c r="DM17" s="66">
        <v>0</v>
      </c>
      <c r="DN17" s="66">
        <v>0</v>
      </c>
      <c r="DO17" s="66">
        <v>0</v>
      </c>
      <c r="DP17" s="66">
        <v>0</v>
      </c>
      <c r="DQ17" s="66">
        <v>0</v>
      </c>
      <c r="DR17" s="66">
        <v>0</v>
      </c>
      <c r="DS17" s="66">
        <v>0</v>
      </c>
      <c r="DT17" s="66">
        <v>0</v>
      </c>
      <c r="DU17" s="66">
        <v>0</v>
      </c>
      <c r="DV17" s="66">
        <v>0</v>
      </c>
      <c r="DW17" s="66">
        <v>0</v>
      </c>
      <c r="DX17" s="66">
        <v>0</v>
      </c>
      <c r="DY17" s="66">
        <v>0</v>
      </c>
      <c r="DZ17" s="66">
        <v>0</v>
      </c>
      <c r="EA17" s="66">
        <v>0</v>
      </c>
      <c r="EB17" s="66">
        <v>0</v>
      </c>
      <c r="EC17" s="66">
        <v>0</v>
      </c>
      <c r="ED17" s="66">
        <v>0</v>
      </c>
      <c r="EE17" s="66">
        <v>0</v>
      </c>
      <c r="EF17" s="66">
        <v>0</v>
      </c>
      <c r="EG17" s="66">
        <v>0</v>
      </c>
      <c r="EH17" s="66">
        <v>0</v>
      </c>
      <c r="EI17" s="66">
        <v>0</v>
      </c>
      <c r="EJ17" s="66">
        <v>0</v>
      </c>
      <c r="EK17" s="66">
        <v>0</v>
      </c>
      <c r="EL17" s="66">
        <v>0</v>
      </c>
      <c r="EM17" s="66">
        <v>0</v>
      </c>
      <c r="EN17" s="66">
        <v>0</v>
      </c>
      <c r="EO17" s="66">
        <v>0</v>
      </c>
      <c r="EP17" s="66">
        <v>0</v>
      </c>
      <c r="EQ17" s="66">
        <v>0</v>
      </c>
      <c r="ER17" s="66">
        <v>0</v>
      </c>
      <c r="ES17" s="66">
        <v>0</v>
      </c>
      <c r="ET17" s="66">
        <v>0</v>
      </c>
      <c r="EU17" s="66">
        <v>0</v>
      </c>
      <c r="EV17" s="66">
        <v>0</v>
      </c>
    </row>
    <row r="18" spans="1:152">
      <c r="A18" s="1" t="s">
        <v>666</v>
      </c>
      <c r="B18" s="1" t="s">
        <v>790</v>
      </c>
      <c r="C18" s="1" t="s">
        <v>785</v>
      </c>
      <c r="D18" s="1" t="s">
        <v>685</v>
      </c>
      <c r="E18" s="1" t="s">
        <v>685</v>
      </c>
      <c r="F18" s="1" t="s">
        <v>3028</v>
      </c>
      <c r="G18" s="77">
        <f t="shared" si="0"/>
        <v>2</v>
      </c>
      <c r="H18" s="66">
        <v>0</v>
      </c>
      <c r="I18" s="66">
        <v>0</v>
      </c>
      <c r="J18" s="66">
        <v>0</v>
      </c>
      <c r="K18" s="66">
        <v>0</v>
      </c>
      <c r="L18" s="66">
        <v>0</v>
      </c>
      <c r="M18" s="66">
        <v>0</v>
      </c>
      <c r="N18" s="66">
        <v>0</v>
      </c>
      <c r="O18" s="66">
        <v>0</v>
      </c>
      <c r="P18" s="66">
        <v>0</v>
      </c>
      <c r="Q18" s="66">
        <v>0</v>
      </c>
      <c r="R18" s="66">
        <v>0</v>
      </c>
      <c r="S18" s="66">
        <v>0</v>
      </c>
      <c r="T18" s="66">
        <v>0</v>
      </c>
      <c r="U18" s="66">
        <v>0</v>
      </c>
      <c r="V18" s="66">
        <v>0</v>
      </c>
      <c r="W18" s="66">
        <v>0</v>
      </c>
      <c r="X18" s="66">
        <v>0</v>
      </c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6">
        <v>0</v>
      </c>
      <c r="AU18" s="66">
        <v>0</v>
      </c>
      <c r="AV18" s="66">
        <v>0</v>
      </c>
      <c r="AW18" s="66">
        <v>0</v>
      </c>
      <c r="AX18" s="66">
        <v>0</v>
      </c>
      <c r="AY18" s="66">
        <v>0</v>
      </c>
      <c r="AZ18" s="66">
        <v>0</v>
      </c>
      <c r="BA18" s="66">
        <v>0</v>
      </c>
      <c r="BB18" s="66">
        <v>0</v>
      </c>
      <c r="BC18" s="66">
        <v>0</v>
      </c>
      <c r="BD18" s="66">
        <v>0</v>
      </c>
      <c r="BE18" s="66">
        <v>0</v>
      </c>
      <c r="BF18" s="66">
        <v>0</v>
      </c>
      <c r="BG18" s="66">
        <v>0</v>
      </c>
      <c r="BH18" s="66">
        <v>0</v>
      </c>
      <c r="BI18" s="66">
        <v>0</v>
      </c>
      <c r="BJ18" s="66">
        <v>0</v>
      </c>
      <c r="BK18" s="66">
        <v>0</v>
      </c>
      <c r="BL18" s="66">
        <v>0</v>
      </c>
      <c r="BM18" s="66">
        <v>0</v>
      </c>
      <c r="BN18" s="66">
        <v>0</v>
      </c>
      <c r="BO18" s="66">
        <v>0</v>
      </c>
      <c r="BP18" s="66">
        <v>0</v>
      </c>
      <c r="BQ18" s="66">
        <v>0</v>
      </c>
      <c r="BR18" s="66">
        <v>0</v>
      </c>
      <c r="BS18" s="66">
        <v>0</v>
      </c>
      <c r="BT18" s="66">
        <v>0</v>
      </c>
      <c r="BU18" s="66">
        <v>0</v>
      </c>
      <c r="BV18" s="66">
        <v>0</v>
      </c>
      <c r="BW18" s="66">
        <v>0</v>
      </c>
      <c r="BX18" s="66">
        <v>0</v>
      </c>
      <c r="BY18" s="66">
        <v>0</v>
      </c>
      <c r="BZ18" s="66">
        <v>0</v>
      </c>
      <c r="CA18" s="66">
        <v>0</v>
      </c>
      <c r="CB18" s="66">
        <v>0</v>
      </c>
      <c r="CC18" s="66">
        <v>0</v>
      </c>
      <c r="CD18" s="66">
        <v>0</v>
      </c>
      <c r="CE18" s="66">
        <v>0</v>
      </c>
      <c r="CF18" s="66">
        <v>0</v>
      </c>
      <c r="CG18" s="66">
        <v>0</v>
      </c>
      <c r="CH18" s="66">
        <v>0</v>
      </c>
      <c r="CI18" s="66">
        <v>0</v>
      </c>
      <c r="CJ18" s="66">
        <v>0</v>
      </c>
      <c r="CK18" s="66">
        <v>0</v>
      </c>
      <c r="CL18" s="66">
        <v>0</v>
      </c>
      <c r="CM18" s="66">
        <v>0</v>
      </c>
      <c r="CN18" s="66">
        <v>0</v>
      </c>
      <c r="CO18" s="66">
        <v>0</v>
      </c>
      <c r="CP18" s="66">
        <v>0</v>
      </c>
      <c r="CQ18" s="66">
        <v>0</v>
      </c>
      <c r="CR18" s="66">
        <v>0</v>
      </c>
      <c r="CS18" s="66">
        <v>0</v>
      </c>
      <c r="CT18" s="66">
        <v>0</v>
      </c>
      <c r="CU18" s="66">
        <v>0</v>
      </c>
      <c r="CV18" s="66">
        <v>0</v>
      </c>
      <c r="CW18" s="66">
        <v>0</v>
      </c>
      <c r="CX18" s="66">
        <v>0</v>
      </c>
      <c r="CY18" s="66">
        <v>0</v>
      </c>
      <c r="CZ18" s="66">
        <v>0</v>
      </c>
      <c r="DA18" s="66">
        <v>0</v>
      </c>
      <c r="DB18" s="66">
        <v>0</v>
      </c>
      <c r="DC18" s="66">
        <v>0</v>
      </c>
      <c r="DD18" s="66">
        <v>0</v>
      </c>
      <c r="DE18" s="66">
        <v>0</v>
      </c>
      <c r="DF18" s="66">
        <v>0</v>
      </c>
      <c r="DG18" s="66">
        <v>0</v>
      </c>
      <c r="DH18" s="66">
        <v>0</v>
      </c>
      <c r="DI18" s="66">
        <v>0</v>
      </c>
      <c r="DJ18" s="66">
        <v>0</v>
      </c>
      <c r="DK18" s="66">
        <v>0</v>
      </c>
      <c r="DL18" s="66">
        <v>0</v>
      </c>
      <c r="DM18" s="66">
        <v>0</v>
      </c>
      <c r="DN18" s="66">
        <v>0</v>
      </c>
      <c r="DO18" s="66">
        <v>0</v>
      </c>
      <c r="DP18" s="66">
        <v>0</v>
      </c>
      <c r="DQ18" s="66">
        <v>0</v>
      </c>
      <c r="DR18" s="66">
        <v>0</v>
      </c>
      <c r="DS18" s="66">
        <v>0</v>
      </c>
      <c r="DT18" s="66">
        <v>0</v>
      </c>
      <c r="DU18" s="66">
        <v>0</v>
      </c>
      <c r="DV18" s="66">
        <v>0</v>
      </c>
      <c r="DW18" s="66">
        <v>0</v>
      </c>
      <c r="DX18" s="66">
        <v>0</v>
      </c>
      <c r="DY18" s="66">
        <v>0</v>
      </c>
      <c r="DZ18" s="66">
        <v>0</v>
      </c>
      <c r="EA18" s="66">
        <v>0</v>
      </c>
      <c r="EB18" s="66">
        <v>0</v>
      </c>
      <c r="EC18" s="66">
        <v>0</v>
      </c>
      <c r="ED18" s="66">
        <v>0</v>
      </c>
      <c r="EE18" s="66">
        <v>0</v>
      </c>
      <c r="EF18" s="66">
        <v>0</v>
      </c>
      <c r="EG18" s="66">
        <v>0</v>
      </c>
      <c r="EH18" s="66">
        <v>0</v>
      </c>
      <c r="EI18" s="66">
        <v>0</v>
      </c>
      <c r="EJ18" s="66">
        <v>0</v>
      </c>
      <c r="EK18" s="66">
        <v>0</v>
      </c>
      <c r="EL18" s="66">
        <v>0</v>
      </c>
      <c r="EM18" s="66">
        <v>0</v>
      </c>
      <c r="EN18" s="66">
        <v>0</v>
      </c>
      <c r="EO18" s="66">
        <v>0</v>
      </c>
      <c r="EP18" s="66">
        <v>0</v>
      </c>
      <c r="EQ18" s="66">
        <v>0</v>
      </c>
      <c r="ER18" s="66">
        <v>2</v>
      </c>
      <c r="ES18" s="66">
        <v>0</v>
      </c>
      <c r="ET18" s="66">
        <v>0</v>
      </c>
      <c r="EU18" s="66">
        <v>0</v>
      </c>
      <c r="EV18" s="66">
        <v>0</v>
      </c>
    </row>
    <row r="19" spans="1:152">
      <c r="A19" s="1" t="s">
        <v>665</v>
      </c>
      <c r="B19" s="1" t="s">
        <v>789</v>
      </c>
      <c r="C19" s="1" t="s">
        <v>788</v>
      </c>
      <c r="D19" s="1">
        <v>114.432</v>
      </c>
      <c r="E19" s="1">
        <v>22.368670000000002</v>
      </c>
      <c r="F19" s="1" t="s">
        <v>3028</v>
      </c>
      <c r="G19" s="77">
        <f t="shared" si="0"/>
        <v>756</v>
      </c>
      <c r="H19" s="66">
        <v>0</v>
      </c>
      <c r="I19" s="66">
        <v>0</v>
      </c>
      <c r="J19" s="66">
        <v>46</v>
      </c>
      <c r="K19" s="66">
        <v>0</v>
      </c>
      <c r="L19" s="66">
        <v>0</v>
      </c>
      <c r="M19" s="66">
        <v>0</v>
      </c>
      <c r="N19" s="66">
        <v>0</v>
      </c>
      <c r="O19" s="66">
        <v>0</v>
      </c>
      <c r="P19" s="66">
        <v>0</v>
      </c>
      <c r="Q19" s="66">
        <v>0</v>
      </c>
      <c r="R19" s="66">
        <v>0</v>
      </c>
      <c r="S19" s="66">
        <v>0</v>
      </c>
      <c r="T19" s="66">
        <v>0</v>
      </c>
      <c r="U19" s="66">
        <v>0</v>
      </c>
      <c r="V19" s="66">
        <v>0</v>
      </c>
      <c r="W19" s="66">
        <v>0</v>
      </c>
      <c r="X19" s="66">
        <v>710</v>
      </c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66">
        <v>0</v>
      </c>
      <c r="AS19" s="66">
        <v>0</v>
      </c>
      <c r="AT19" s="66">
        <v>0</v>
      </c>
      <c r="AU19" s="66">
        <v>0</v>
      </c>
      <c r="AV19" s="66">
        <v>0</v>
      </c>
      <c r="AW19" s="66">
        <v>0</v>
      </c>
      <c r="AX19" s="66">
        <v>0</v>
      </c>
      <c r="AY19" s="66">
        <v>0</v>
      </c>
      <c r="AZ19" s="66">
        <v>0</v>
      </c>
      <c r="BA19" s="66">
        <v>0</v>
      </c>
      <c r="BB19" s="66">
        <v>0</v>
      </c>
      <c r="BC19" s="66">
        <v>0</v>
      </c>
      <c r="BD19" s="66">
        <v>0</v>
      </c>
      <c r="BE19" s="66">
        <v>0</v>
      </c>
      <c r="BF19" s="66">
        <v>0</v>
      </c>
      <c r="BG19" s="66">
        <v>0</v>
      </c>
      <c r="BH19" s="66">
        <v>0</v>
      </c>
      <c r="BI19" s="66">
        <v>0</v>
      </c>
      <c r="BJ19" s="66">
        <v>0</v>
      </c>
      <c r="BK19" s="66">
        <v>0</v>
      </c>
      <c r="BL19" s="66">
        <v>0</v>
      </c>
      <c r="BM19" s="66">
        <v>0</v>
      </c>
      <c r="BN19" s="66">
        <v>0</v>
      </c>
      <c r="BO19" s="66">
        <v>0</v>
      </c>
      <c r="BP19" s="66">
        <v>0</v>
      </c>
      <c r="BQ19" s="66">
        <v>0</v>
      </c>
      <c r="BR19" s="66">
        <v>0</v>
      </c>
      <c r="BS19" s="66">
        <v>0</v>
      </c>
      <c r="BT19" s="66">
        <v>0</v>
      </c>
      <c r="BU19" s="66">
        <v>0</v>
      </c>
      <c r="BV19" s="66">
        <v>0</v>
      </c>
      <c r="BW19" s="66">
        <v>0</v>
      </c>
      <c r="BX19" s="66">
        <v>0</v>
      </c>
      <c r="BY19" s="66">
        <v>0</v>
      </c>
      <c r="BZ19" s="66">
        <v>0</v>
      </c>
      <c r="CA19" s="66">
        <v>0</v>
      </c>
      <c r="CB19" s="66">
        <v>0</v>
      </c>
      <c r="CC19" s="66">
        <v>0</v>
      </c>
      <c r="CD19" s="66">
        <v>0</v>
      </c>
      <c r="CE19" s="66">
        <v>0</v>
      </c>
      <c r="CF19" s="66">
        <v>0</v>
      </c>
      <c r="CG19" s="66">
        <v>0</v>
      </c>
      <c r="CH19" s="66">
        <v>0</v>
      </c>
      <c r="CI19" s="66">
        <v>0</v>
      </c>
      <c r="CJ19" s="66">
        <v>0</v>
      </c>
      <c r="CK19" s="66">
        <v>0</v>
      </c>
      <c r="CL19" s="66">
        <v>0</v>
      </c>
      <c r="CM19" s="66">
        <v>0</v>
      </c>
      <c r="CN19" s="66">
        <v>0</v>
      </c>
      <c r="CO19" s="66">
        <v>0</v>
      </c>
      <c r="CP19" s="66">
        <v>0</v>
      </c>
      <c r="CQ19" s="66">
        <v>0</v>
      </c>
      <c r="CR19" s="66">
        <v>0</v>
      </c>
      <c r="CS19" s="66">
        <v>0</v>
      </c>
      <c r="CT19" s="66">
        <v>0</v>
      </c>
      <c r="CU19" s="66">
        <v>0</v>
      </c>
      <c r="CV19" s="66">
        <v>0</v>
      </c>
      <c r="CW19" s="66">
        <v>0</v>
      </c>
      <c r="CX19" s="66">
        <v>0</v>
      </c>
      <c r="CY19" s="66">
        <v>0</v>
      </c>
      <c r="CZ19" s="66">
        <v>0</v>
      </c>
      <c r="DA19" s="66">
        <v>0</v>
      </c>
      <c r="DB19" s="66">
        <v>0</v>
      </c>
      <c r="DC19" s="66">
        <v>0</v>
      </c>
      <c r="DD19" s="66">
        <v>0</v>
      </c>
      <c r="DE19" s="66">
        <v>0</v>
      </c>
      <c r="DF19" s="66">
        <v>0</v>
      </c>
      <c r="DG19" s="66">
        <v>0</v>
      </c>
      <c r="DH19" s="66">
        <v>0</v>
      </c>
      <c r="DI19" s="66">
        <v>0</v>
      </c>
      <c r="DJ19" s="66">
        <v>0</v>
      </c>
      <c r="DK19" s="66">
        <v>0</v>
      </c>
      <c r="DL19" s="66">
        <v>0</v>
      </c>
      <c r="DM19" s="66">
        <v>0</v>
      </c>
      <c r="DN19" s="66">
        <v>0</v>
      </c>
      <c r="DO19" s="66">
        <v>0</v>
      </c>
      <c r="DP19" s="66">
        <v>0</v>
      </c>
      <c r="DQ19" s="66">
        <v>0</v>
      </c>
      <c r="DR19" s="66">
        <v>0</v>
      </c>
      <c r="DS19" s="66">
        <v>0</v>
      </c>
      <c r="DT19" s="66">
        <v>0</v>
      </c>
      <c r="DU19" s="66">
        <v>0</v>
      </c>
      <c r="DV19" s="66">
        <v>0</v>
      </c>
      <c r="DW19" s="66">
        <v>0</v>
      </c>
      <c r="DX19" s="66">
        <v>0</v>
      </c>
      <c r="DY19" s="66">
        <v>0</v>
      </c>
      <c r="DZ19" s="66">
        <v>0</v>
      </c>
      <c r="EA19" s="66">
        <v>0</v>
      </c>
      <c r="EB19" s="66">
        <v>0</v>
      </c>
      <c r="EC19" s="66">
        <v>0</v>
      </c>
      <c r="ED19" s="66">
        <v>0</v>
      </c>
      <c r="EE19" s="66">
        <v>0</v>
      </c>
      <c r="EF19" s="66">
        <v>0</v>
      </c>
      <c r="EG19" s="66">
        <v>0</v>
      </c>
      <c r="EH19" s="66">
        <v>0</v>
      </c>
      <c r="EI19" s="66">
        <v>0</v>
      </c>
      <c r="EJ19" s="66">
        <v>0</v>
      </c>
      <c r="EK19" s="66">
        <v>0</v>
      </c>
      <c r="EL19" s="66">
        <v>0</v>
      </c>
      <c r="EM19" s="66">
        <v>0</v>
      </c>
      <c r="EN19" s="66">
        <v>0</v>
      </c>
      <c r="EO19" s="66">
        <v>0</v>
      </c>
      <c r="EP19" s="66">
        <v>0</v>
      </c>
      <c r="EQ19" s="66">
        <v>0</v>
      </c>
      <c r="ER19" s="66">
        <v>0</v>
      </c>
      <c r="ES19" s="66">
        <v>0</v>
      </c>
      <c r="ET19" s="66">
        <v>0</v>
      </c>
      <c r="EU19" s="66">
        <v>0</v>
      </c>
      <c r="EV19" s="66">
        <v>0</v>
      </c>
    </row>
    <row r="20" spans="1:152">
      <c r="A20" s="1" t="s">
        <v>686</v>
      </c>
      <c r="B20" s="1" t="s">
        <v>787</v>
      </c>
      <c r="C20" s="1" t="s">
        <v>785</v>
      </c>
      <c r="D20" s="1" t="s">
        <v>685</v>
      </c>
      <c r="E20" s="1" t="s">
        <v>685</v>
      </c>
      <c r="F20" s="1" t="s">
        <v>3028</v>
      </c>
      <c r="G20" s="77">
        <f t="shared" si="0"/>
        <v>0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66">
        <v>0</v>
      </c>
      <c r="N20" s="66">
        <v>0</v>
      </c>
      <c r="O20" s="66">
        <v>0</v>
      </c>
      <c r="P20" s="66">
        <v>0</v>
      </c>
      <c r="Q20" s="66">
        <v>0</v>
      </c>
      <c r="R20" s="66">
        <v>0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66">
        <v>0</v>
      </c>
      <c r="AA20" s="66">
        <v>0</v>
      </c>
      <c r="AB20" s="66">
        <v>0</v>
      </c>
      <c r="AC20" s="66">
        <v>0</v>
      </c>
      <c r="AD20" s="66">
        <v>0</v>
      </c>
      <c r="AE20" s="66">
        <v>0</v>
      </c>
      <c r="AF20" s="66">
        <v>0</v>
      </c>
      <c r="AG20" s="66">
        <v>0</v>
      </c>
      <c r="AH20" s="66">
        <v>0</v>
      </c>
      <c r="AI20" s="66">
        <v>0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6">
        <v>0</v>
      </c>
      <c r="AU20" s="66">
        <v>0</v>
      </c>
      <c r="AV20" s="66">
        <v>0</v>
      </c>
      <c r="AW20" s="66">
        <v>0</v>
      </c>
      <c r="AX20" s="66">
        <v>0</v>
      </c>
      <c r="AY20" s="66">
        <v>0</v>
      </c>
      <c r="AZ20" s="66">
        <v>0</v>
      </c>
      <c r="BA20" s="66">
        <v>0</v>
      </c>
      <c r="BB20" s="66">
        <v>0</v>
      </c>
      <c r="BC20" s="66">
        <v>0</v>
      </c>
      <c r="BD20" s="66">
        <v>0</v>
      </c>
      <c r="BE20" s="66">
        <v>0</v>
      </c>
      <c r="BF20" s="66">
        <v>0</v>
      </c>
      <c r="BG20" s="66">
        <v>0</v>
      </c>
      <c r="BH20" s="66">
        <v>0</v>
      </c>
      <c r="BI20" s="66">
        <v>0</v>
      </c>
      <c r="BJ20" s="66">
        <v>0</v>
      </c>
      <c r="BK20" s="66">
        <v>0</v>
      </c>
      <c r="BL20" s="66">
        <v>0</v>
      </c>
      <c r="BM20" s="66">
        <v>0</v>
      </c>
      <c r="BN20" s="66">
        <v>0</v>
      </c>
      <c r="BO20" s="66">
        <v>0</v>
      </c>
      <c r="BP20" s="66">
        <v>0</v>
      </c>
      <c r="BQ20" s="66">
        <v>0</v>
      </c>
      <c r="BR20" s="66">
        <v>0</v>
      </c>
      <c r="BS20" s="66">
        <v>0</v>
      </c>
      <c r="BT20" s="66">
        <v>0</v>
      </c>
      <c r="BU20" s="66">
        <v>0</v>
      </c>
      <c r="BV20" s="66">
        <v>0</v>
      </c>
      <c r="BW20" s="66">
        <v>0</v>
      </c>
      <c r="BX20" s="66">
        <v>0</v>
      </c>
      <c r="BY20" s="66">
        <v>0</v>
      </c>
      <c r="BZ20" s="66">
        <v>0</v>
      </c>
      <c r="CA20" s="66">
        <v>0</v>
      </c>
      <c r="CB20" s="66">
        <v>0</v>
      </c>
      <c r="CC20" s="66">
        <v>0</v>
      </c>
      <c r="CD20" s="66">
        <v>0</v>
      </c>
      <c r="CE20" s="66">
        <v>0</v>
      </c>
      <c r="CF20" s="66">
        <v>0</v>
      </c>
      <c r="CG20" s="66">
        <v>0</v>
      </c>
      <c r="CH20" s="66">
        <v>0</v>
      </c>
      <c r="CI20" s="66">
        <v>0</v>
      </c>
      <c r="CJ20" s="66">
        <v>0</v>
      </c>
      <c r="CK20" s="66">
        <v>0</v>
      </c>
      <c r="CL20" s="66">
        <v>0</v>
      </c>
      <c r="CM20" s="66">
        <v>0</v>
      </c>
      <c r="CN20" s="66">
        <v>0</v>
      </c>
      <c r="CO20" s="66">
        <v>0</v>
      </c>
      <c r="CP20" s="66">
        <v>0</v>
      </c>
      <c r="CQ20" s="66">
        <v>0</v>
      </c>
      <c r="CR20" s="66">
        <v>0</v>
      </c>
      <c r="CS20" s="66">
        <v>0</v>
      </c>
      <c r="CT20" s="66">
        <v>0</v>
      </c>
      <c r="CU20" s="66">
        <v>0</v>
      </c>
      <c r="CV20" s="66">
        <v>0</v>
      </c>
      <c r="CW20" s="66">
        <v>0</v>
      </c>
      <c r="CX20" s="66">
        <v>0</v>
      </c>
      <c r="CY20" s="66">
        <v>0</v>
      </c>
      <c r="CZ20" s="66">
        <v>0</v>
      </c>
      <c r="DA20" s="66">
        <v>0</v>
      </c>
      <c r="DB20" s="66">
        <v>0</v>
      </c>
      <c r="DC20" s="66">
        <v>0</v>
      </c>
      <c r="DD20" s="66">
        <v>0</v>
      </c>
      <c r="DE20" s="66">
        <v>0</v>
      </c>
      <c r="DF20" s="66">
        <v>0</v>
      </c>
      <c r="DG20" s="66">
        <v>0</v>
      </c>
      <c r="DH20" s="66">
        <v>0</v>
      </c>
      <c r="DI20" s="66">
        <v>0</v>
      </c>
      <c r="DJ20" s="66">
        <v>0</v>
      </c>
      <c r="DK20" s="66">
        <v>0</v>
      </c>
      <c r="DL20" s="66">
        <v>0</v>
      </c>
      <c r="DM20" s="66">
        <v>0</v>
      </c>
      <c r="DN20" s="66">
        <v>0</v>
      </c>
      <c r="DO20" s="66">
        <v>0</v>
      </c>
      <c r="DP20" s="66">
        <v>0</v>
      </c>
      <c r="DQ20" s="66">
        <v>0</v>
      </c>
      <c r="DR20" s="66">
        <v>0</v>
      </c>
      <c r="DS20" s="66">
        <v>0</v>
      </c>
      <c r="DT20" s="66">
        <v>0</v>
      </c>
      <c r="DU20" s="66">
        <v>0</v>
      </c>
      <c r="DV20" s="66">
        <v>0</v>
      </c>
      <c r="DW20" s="66">
        <v>0</v>
      </c>
      <c r="DX20" s="66">
        <v>0</v>
      </c>
      <c r="DY20" s="66">
        <v>0</v>
      </c>
      <c r="DZ20" s="66">
        <v>0</v>
      </c>
      <c r="EA20" s="66">
        <v>0</v>
      </c>
      <c r="EB20" s="66">
        <v>0</v>
      </c>
      <c r="EC20" s="66">
        <v>0</v>
      </c>
      <c r="ED20" s="66">
        <v>0</v>
      </c>
      <c r="EE20" s="66">
        <v>0</v>
      </c>
      <c r="EF20" s="66">
        <v>0</v>
      </c>
      <c r="EG20" s="66">
        <v>0</v>
      </c>
      <c r="EH20" s="66">
        <v>0</v>
      </c>
      <c r="EI20" s="66">
        <v>0</v>
      </c>
      <c r="EJ20" s="66">
        <v>0</v>
      </c>
      <c r="EK20" s="66">
        <v>0</v>
      </c>
      <c r="EL20" s="66">
        <v>0</v>
      </c>
      <c r="EM20" s="66">
        <v>0</v>
      </c>
      <c r="EN20" s="66">
        <v>0</v>
      </c>
      <c r="EO20" s="66">
        <v>0</v>
      </c>
      <c r="EP20" s="66">
        <v>0</v>
      </c>
      <c r="EQ20" s="66">
        <v>0</v>
      </c>
      <c r="ER20" s="66">
        <v>0</v>
      </c>
      <c r="ES20" s="66">
        <v>0</v>
      </c>
      <c r="ET20" s="66">
        <v>0</v>
      </c>
      <c r="EU20" s="66">
        <v>0</v>
      </c>
      <c r="EV20" s="66">
        <v>0</v>
      </c>
    </row>
    <row r="21" spans="1:152">
      <c r="A21" s="1" t="s">
        <v>684</v>
      </c>
      <c r="B21" s="1" t="s">
        <v>786</v>
      </c>
      <c r="C21" s="1" t="s">
        <v>785</v>
      </c>
      <c r="D21" s="1" t="s">
        <v>685</v>
      </c>
      <c r="E21" s="1" t="s">
        <v>685</v>
      </c>
      <c r="F21" s="1" t="s">
        <v>3028</v>
      </c>
      <c r="G21" s="77">
        <f t="shared" si="0"/>
        <v>0</v>
      </c>
      <c r="H21" s="66">
        <v>0</v>
      </c>
      <c r="I21" s="66">
        <v>0</v>
      </c>
      <c r="J21" s="66">
        <v>0</v>
      </c>
      <c r="K21" s="66">
        <v>0</v>
      </c>
      <c r="L21" s="66">
        <v>0</v>
      </c>
      <c r="M21" s="66">
        <v>0</v>
      </c>
      <c r="N21" s="66">
        <v>0</v>
      </c>
      <c r="O21" s="66">
        <v>0</v>
      </c>
      <c r="P21" s="66">
        <v>0</v>
      </c>
      <c r="Q21" s="66">
        <v>0</v>
      </c>
      <c r="R21" s="66">
        <v>0</v>
      </c>
      <c r="S21" s="66">
        <v>0</v>
      </c>
      <c r="T21" s="66">
        <v>0</v>
      </c>
      <c r="U21" s="66">
        <v>0</v>
      </c>
      <c r="V21" s="66">
        <v>0</v>
      </c>
      <c r="W21" s="66">
        <v>0</v>
      </c>
      <c r="X21" s="66">
        <v>0</v>
      </c>
      <c r="Y21" s="66">
        <v>0</v>
      </c>
      <c r="Z21" s="66">
        <v>0</v>
      </c>
      <c r="AA21" s="66">
        <v>0</v>
      </c>
      <c r="AB21" s="66">
        <v>0</v>
      </c>
      <c r="AC21" s="66">
        <v>0</v>
      </c>
      <c r="AD21" s="66">
        <v>0</v>
      </c>
      <c r="AE21" s="66">
        <v>0</v>
      </c>
      <c r="AF21" s="66">
        <v>0</v>
      </c>
      <c r="AG21" s="66">
        <v>0</v>
      </c>
      <c r="AH21" s="66">
        <v>0</v>
      </c>
      <c r="AI21" s="66">
        <v>0</v>
      </c>
      <c r="AJ21" s="66">
        <v>0</v>
      </c>
      <c r="AK21" s="66">
        <v>0</v>
      </c>
      <c r="AL21" s="66">
        <v>0</v>
      </c>
      <c r="AM21" s="66">
        <v>0</v>
      </c>
      <c r="AN21" s="66">
        <v>0</v>
      </c>
      <c r="AO21" s="66">
        <v>0</v>
      </c>
      <c r="AP21" s="66">
        <v>0</v>
      </c>
      <c r="AQ21" s="66">
        <v>0</v>
      </c>
      <c r="AR21" s="66">
        <v>0</v>
      </c>
      <c r="AS21" s="66">
        <v>0</v>
      </c>
      <c r="AT21" s="66">
        <v>0</v>
      </c>
      <c r="AU21" s="66">
        <v>0</v>
      </c>
      <c r="AV21" s="66">
        <v>0</v>
      </c>
      <c r="AW21" s="66">
        <v>0</v>
      </c>
      <c r="AX21" s="66">
        <v>0</v>
      </c>
      <c r="AY21" s="66">
        <v>0</v>
      </c>
      <c r="AZ21" s="66">
        <v>0</v>
      </c>
      <c r="BA21" s="66">
        <v>0</v>
      </c>
      <c r="BB21" s="66">
        <v>0</v>
      </c>
      <c r="BC21" s="66">
        <v>0</v>
      </c>
      <c r="BD21" s="66">
        <v>0</v>
      </c>
      <c r="BE21" s="66">
        <v>0</v>
      </c>
      <c r="BF21" s="66">
        <v>0</v>
      </c>
      <c r="BG21" s="66">
        <v>0</v>
      </c>
      <c r="BH21" s="66">
        <v>0</v>
      </c>
      <c r="BI21" s="66">
        <v>0</v>
      </c>
      <c r="BJ21" s="66">
        <v>0</v>
      </c>
      <c r="BK21" s="66">
        <v>0</v>
      </c>
      <c r="BL21" s="66">
        <v>0</v>
      </c>
      <c r="BM21" s="66">
        <v>0</v>
      </c>
      <c r="BN21" s="66">
        <v>0</v>
      </c>
      <c r="BO21" s="66">
        <v>0</v>
      </c>
      <c r="BP21" s="66">
        <v>0</v>
      </c>
      <c r="BQ21" s="66">
        <v>0</v>
      </c>
      <c r="BR21" s="66">
        <v>0</v>
      </c>
      <c r="BS21" s="66">
        <v>0</v>
      </c>
      <c r="BT21" s="66">
        <v>0</v>
      </c>
      <c r="BU21" s="66">
        <v>0</v>
      </c>
      <c r="BV21" s="66">
        <v>0</v>
      </c>
      <c r="BW21" s="66">
        <v>0</v>
      </c>
      <c r="BX21" s="66">
        <v>0</v>
      </c>
      <c r="BY21" s="66">
        <v>0</v>
      </c>
      <c r="BZ21" s="66">
        <v>0</v>
      </c>
      <c r="CA21" s="66">
        <v>0</v>
      </c>
      <c r="CB21" s="66">
        <v>0</v>
      </c>
      <c r="CC21" s="66">
        <v>0</v>
      </c>
      <c r="CD21" s="66">
        <v>0</v>
      </c>
      <c r="CE21" s="66">
        <v>0</v>
      </c>
      <c r="CF21" s="66">
        <v>0</v>
      </c>
      <c r="CG21" s="66">
        <v>0</v>
      </c>
      <c r="CH21" s="66">
        <v>0</v>
      </c>
      <c r="CI21" s="66">
        <v>0</v>
      </c>
      <c r="CJ21" s="66">
        <v>0</v>
      </c>
      <c r="CK21" s="66">
        <v>0</v>
      </c>
      <c r="CL21" s="66">
        <v>0</v>
      </c>
      <c r="CM21" s="66">
        <v>0</v>
      </c>
      <c r="CN21" s="66">
        <v>0</v>
      </c>
      <c r="CO21" s="66">
        <v>0</v>
      </c>
      <c r="CP21" s="66">
        <v>0</v>
      </c>
      <c r="CQ21" s="66">
        <v>0</v>
      </c>
      <c r="CR21" s="66">
        <v>0</v>
      </c>
      <c r="CS21" s="66">
        <v>0</v>
      </c>
      <c r="CT21" s="66">
        <v>0</v>
      </c>
      <c r="CU21" s="66">
        <v>0</v>
      </c>
      <c r="CV21" s="66">
        <v>0</v>
      </c>
      <c r="CW21" s="66">
        <v>0</v>
      </c>
      <c r="CX21" s="66">
        <v>0</v>
      </c>
      <c r="CY21" s="66">
        <v>0</v>
      </c>
      <c r="CZ21" s="66">
        <v>0</v>
      </c>
      <c r="DA21" s="66">
        <v>0</v>
      </c>
      <c r="DB21" s="66">
        <v>0</v>
      </c>
      <c r="DC21" s="66">
        <v>0</v>
      </c>
      <c r="DD21" s="66">
        <v>0</v>
      </c>
      <c r="DE21" s="66">
        <v>0</v>
      </c>
      <c r="DF21" s="66">
        <v>0</v>
      </c>
      <c r="DG21" s="66">
        <v>0</v>
      </c>
      <c r="DH21" s="66">
        <v>0</v>
      </c>
      <c r="DI21" s="66">
        <v>0</v>
      </c>
      <c r="DJ21" s="66">
        <v>0</v>
      </c>
      <c r="DK21" s="66">
        <v>0</v>
      </c>
      <c r="DL21" s="66">
        <v>0</v>
      </c>
      <c r="DM21" s="66">
        <v>0</v>
      </c>
      <c r="DN21" s="66">
        <v>0</v>
      </c>
      <c r="DO21" s="66">
        <v>0</v>
      </c>
      <c r="DP21" s="66">
        <v>0</v>
      </c>
      <c r="DQ21" s="66">
        <v>0</v>
      </c>
      <c r="DR21" s="66">
        <v>0</v>
      </c>
      <c r="DS21" s="66">
        <v>0</v>
      </c>
      <c r="DT21" s="66">
        <v>0</v>
      </c>
      <c r="DU21" s="66">
        <v>0</v>
      </c>
      <c r="DV21" s="66">
        <v>0</v>
      </c>
      <c r="DW21" s="66">
        <v>0</v>
      </c>
      <c r="DX21" s="66">
        <v>0</v>
      </c>
      <c r="DY21" s="66">
        <v>0</v>
      </c>
      <c r="DZ21" s="66">
        <v>0</v>
      </c>
      <c r="EA21" s="66">
        <v>0</v>
      </c>
      <c r="EB21" s="66">
        <v>0</v>
      </c>
      <c r="EC21" s="66">
        <v>0</v>
      </c>
      <c r="ED21" s="66">
        <v>0</v>
      </c>
      <c r="EE21" s="66">
        <v>0</v>
      </c>
      <c r="EF21" s="66">
        <v>0</v>
      </c>
      <c r="EG21" s="66">
        <v>0</v>
      </c>
      <c r="EH21" s="66">
        <v>0</v>
      </c>
      <c r="EI21" s="66">
        <v>0</v>
      </c>
      <c r="EJ21" s="66">
        <v>0</v>
      </c>
      <c r="EK21" s="66">
        <v>0</v>
      </c>
      <c r="EL21" s="66">
        <v>0</v>
      </c>
      <c r="EM21" s="66">
        <v>0</v>
      </c>
      <c r="EN21" s="66">
        <v>0</v>
      </c>
      <c r="EO21" s="66">
        <v>0</v>
      </c>
      <c r="EP21" s="66">
        <v>0</v>
      </c>
      <c r="EQ21" s="66">
        <v>0</v>
      </c>
      <c r="ER21" s="66">
        <v>0</v>
      </c>
      <c r="ES21" s="66">
        <v>0</v>
      </c>
      <c r="ET21" s="66">
        <v>0</v>
      </c>
      <c r="EU21" s="66">
        <v>0</v>
      </c>
      <c r="EV21" s="66">
        <v>0</v>
      </c>
    </row>
    <row r="23" spans="1:152" s="8" customFormat="1">
      <c r="F23" s="67" t="s">
        <v>653</v>
      </c>
      <c r="G23" s="68">
        <f t="shared" ref="G23:AL23" si="1">SUM(G6:G21)</f>
        <v>628836</v>
      </c>
      <c r="H23" s="68">
        <f t="shared" si="1"/>
        <v>201480</v>
      </c>
      <c r="I23" s="68">
        <f t="shared" si="1"/>
        <v>188767</v>
      </c>
      <c r="J23" s="68">
        <f t="shared" si="1"/>
        <v>116286</v>
      </c>
      <c r="K23" s="68">
        <f t="shared" si="1"/>
        <v>58890</v>
      </c>
      <c r="L23" s="68">
        <f t="shared" si="1"/>
        <v>23272</v>
      </c>
      <c r="M23" s="68">
        <f t="shared" si="1"/>
        <v>6641</v>
      </c>
      <c r="N23" s="68">
        <f t="shared" si="1"/>
        <v>5567</v>
      </c>
      <c r="O23" s="68">
        <f t="shared" si="1"/>
        <v>3972</v>
      </c>
      <c r="P23" s="68">
        <f t="shared" si="1"/>
        <v>3182</v>
      </c>
      <c r="Q23" s="68">
        <f t="shared" si="1"/>
        <v>2622</v>
      </c>
      <c r="R23" s="68">
        <f t="shared" si="1"/>
        <v>1370</v>
      </c>
      <c r="S23" s="68">
        <f t="shared" si="1"/>
        <v>1258</v>
      </c>
      <c r="T23" s="68">
        <f t="shared" si="1"/>
        <v>929</v>
      </c>
      <c r="U23" s="68">
        <f t="shared" si="1"/>
        <v>816</v>
      </c>
      <c r="V23" s="68">
        <f t="shared" si="1"/>
        <v>735</v>
      </c>
      <c r="W23" s="68">
        <f t="shared" si="1"/>
        <v>717</v>
      </c>
      <c r="X23" s="68">
        <f t="shared" si="1"/>
        <v>710</v>
      </c>
      <c r="Y23" s="68">
        <f t="shared" si="1"/>
        <v>622</v>
      </c>
      <c r="Z23" s="68">
        <f t="shared" si="1"/>
        <v>610</v>
      </c>
      <c r="AA23" s="68">
        <f t="shared" si="1"/>
        <v>507</v>
      </c>
      <c r="AB23" s="68">
        <f t="shared" si="1"/>
        <v>471</v>
      </c>
      <c r="AC23" s="68">
        <f t="shared" si="1"/>
        <v>447</v>
      </c>
      <c r="AD23" s="68">
        <f t="shared" si="1"/>
        <v>446</v>
      </c>
      <c r="AE23" s="68">
        <f t="shared" si="1"/>
        <v>442</v>
      </c>
      <c r="AF23" s="68">
        <f t="shared" si="1"/>
        <v>436</v>
      </c>
      <c r="AG23" s="68">
        <f t="shared" si="1"/>
        <v>427</v>
      </c>
      <c r="AH23" s="68">
        <f t="shared" si="1"/>
        <v>334</v>
      </c>
      <c r="AI23" s="68">
        <f t="shared" si="1"/>
        <v>304</v>
      </c>
      <c r="AJ23" s="68">
        <f t="shared" si="1"/>
        <v>299</v>
      </c>
      <c r="AK23" s="68">
        <f t="shared" si="1"/>
        <v>295</v>
      </c>
      <c r="AL23" s="68">
        <f t="shared" si="1"/>
        <v>239</v>
      </c>
      <c r="AM23" s="68">
        <f t="shared" ref="AM23:BR23" si="2">SUM(AM6:AM21)</f>
        <v>239</v>
      </c>
      <c r="AN23" s="68">
        <f t="shared" si="2"/>
        <v>221</v>
      </c>
      <c r="AO23" s="68">
        <f t="shared" si="2"/>
        <v>212</v>
      </c>
      <c r="AP23" s="68">
        <f t="shared" si="2"/>
        <v>186</v>
      </c>
      <c r="AQ23" s="68">
        <f t="shared" si="2"/>
        <v>176</v>
      </c>
      <c r="AR23" s="68">
        <f t="shared" si="2"/>
        <v>175</v>
      </c>
      <c r="AS23" s="68">
        <f t="shared" si="2"/>
        <v>174</v>
      </c>
      <c r="AT23" s="68">
        <f t="shared" si="2"/>
        <v>162</v>
      </c>
      <c r="AU23" s="68">
        <f t="shared" si="2"/>
        <v>140</v>
      </c>
      <c r="AV23" s="68">
        <f t="shared" si="2"/>
        <v>140</v>
      </c>
      <c r="AW23" s="68">
        <f t="shared" si="2"/>
        <v>136</v>
      </c>
      <c r="AX23" s="68">
        <f t="shared" si="2"/>
        <v>126</v>
      </c>
      <c r="AY23" s="68">
        <f t="shared" si="2"/>
        <v>118</v>
      </c>
      <c r="AZ23" s="68">
        <f t="shared" si="2"/>
        <v>117</v>
      </c>
      <c r="BA23" s="68">
        <f t="shared" si="2"/>
        <v>116</v>
      </c>
      <c r="BB23" s="68">
        <f t="shared" si="2"/>
        <v>110</v>
      </c>
      <c r="BC23" s="68">
        <f t="shared" si="2"/>
        <v>103</v>
      </c>
      <c r="BD23" s="68">
        <f t="shared" si="2"/>
        <v>101</v>
      </c>
      <c r="BE23" s="68">
        <f t="shared" si="2"/>
        <v>100</v>
      </c>
      <c r="BF23" s="68">
        <f t="shared" si="2"/>
        <v>99</v>
      </c>
      <c r="BG23" s="68">
        <f t="shared" si="2"/>
        <v>96</v>
      </c>
      <c r="BH23" s="68">
        <f t="shared" si="2"/>
        <v>96</v>
      </c>
      <c r="BI23" s="68">
        <f t="shared" si="2"/>
        <v>95</v>
      </c>
      <c r="BJ23" s="68">
        <f t="shared" si="2"/>
        <v>92</v>
      </c>
      <c r="BK23" s="68">
        <f t="shared" si="2"/>
        <v>92</v>
      </c>
      <c r="BL23" s="68">
        <f t="shared" si="2"/>
        <v>92</v>
      </c>
      <c r="BM23" s="68">
        <f t="shared" si="2"/>
        <v>88</v>
      </c>
      <c r="BN23" s="68">
        <f t="shared" si="2"/>
        <v>88</v>
      </c>
      <c r="BO23" s="68">
        <f t="shared" si="2"/>
        <v>78</v>
      </c>
      <c r="BP23" s="68">
        <f t="shared" si="2"/>
        <v>72</v>
      </c>
      <c r="BQ23" s="68">
        <f t="shared" si="2"/>
        <v>71</v>
      </c>
      <c r="BR23" s="68">
        <f t="shared" si="2"/>
        <v>69</v>
      </c>
      <c r="BS23" s="68">
        <f t="shared" ref="BS23:CX23" si="3">SUM(BS6:BS21)</f>
        <v>68</v>
      </c>
      <c r="BT23" s="68">
        <f t="shared" si="3"/>
        <v>59</v>
      </c>
      <c r="BU23" s="68">
        <f t="shared" si="3"/>
        <v>58</v>
      </c>
      <c r="BV23" s="68">
        <f t="shared" si="3"/>
        <v>54</v>
      </c>
      <c r="BW23" s="68">
        <f t="shared" si="3"/>
        <v>53</v>
      </c>
      <c r="BX23" s="68">
        <f t="shared" si="3"/>
        <v>50</v>
      </c>
      <c r="BY23" s="68">
        <f t="shared" si="3"/>
        <v>45</v>
      </c>
      <c r="BZ23" s="68">
        <f t="shared" si="3"/>
        <v>42</v>
      </c>
      <c r="CA23" s="68">
        <f t="shared" si="3"/>
        <v>41</v>
      </c>
      <c r="CB23" s="68">
        <f t="shared" si="3"/>
        <v>39</v>
      </c>
      <c r="CC23" s="68">
        <f t="shared" si="3"/>
        <v>39</v>
      </c>
      <c r="CD23" s="68">
        <f t="shared" si="3"/>
        <v>38</v>
      </c>
      <c r="CE23" s="68">
        <f t="shared" si="3"/>
        <v>37</v>
      </c>
      <c r="CF23" s="68">
        <f t="shared" si="3"/>
        <v>36</v>
      </c>
      <c r="CG23" s="68">
        <f t="shared" si="3"/>
        <v>36</v>
      </c>
      <c r="CH23" s="68">
        <f t="shared" si="3"/>
        <v>36</v>
      </c>
      <c r="CI23" s="68">
        <f t="shared" si="3"/>
        <v>35</v>
      </c>
      <c r="CJ23" s="68">
        <f t="shared" si="3"/>
        <v>35</v>
      </c>
      <c r="CK23" s="68">
        <f t="shared" si="3"/>
        <v>34</v>
      </c>
      <c r="CL23" s="68">
        <f t="shared" si="3"/>
        <v>32</v>
      </c>
      <c r="CM23" s="68">
        <f t="shared" si="3"/>
        <v>32</v>
      </c>
      <c r="CN23" s="68">
        <f t="shared" si="3"/>
        <v>32</v>
      </c>
      <c r="CO23" s="68">
        <f t="shared" si="3"/>
        <v>31</v>
      </c>
      <c r="CP23" s="68">
        <f t="shared" si="3"/>
        <v>31</v>
      </c>
      <c r="CQ23" s="68">
        <f t="shared" si="3"/>
        <v>30</v>
      </c>
      <c r="CR23" s="68">
        <f t="shared" si="3"/>
        <v>29</v>
      </c>
      <c r="CS23" s="68">
        <f t="shared" si="3"/>
        <v>28</v>
      </c>
      <c r="CT23" s="68">
        <f t="shared" si="3"/>
        <v>27</v>
      </c>
      <c r="CU23" s="68">
        <f t="shared" si="3"/>
        <v>27</v>
      </c>
      <c r="CV23" s="68">
        <f t="shared" si="3"/>
        <v>25</v>
      </c>
      <c r="CW23" s="68">
        <f t="shared" si="3"/>
        <v>24</v>
      </c>
      <c r="CX23" s="68">
        <f t="shared" si="3"/>
        <v>23</v>
      </c>
      <c r="CY23" s="68">
        <f t="shared" ref="CY23:ED23" si="4">SUM(CY6:CY21)</f>
        <v>22</v>
      </c>
      <c r="CZ23" s="68">
        <f t="shared" si="4"/>
        <v>22</v>
      </c>
      <c r="DA23" s="68">
        <f t="shared" si="4"/>
        <v>21</v>
      </c>
      <c r="DB23" s="68">
        <f t="shared" si="4"/>
        <v>21</v>
      </c>
      <c r="DC23" s="68">
        <f t="shared" si="4"/>
        <v>20</v>
      </c>
      <c r="DD23" s="68">
        <f t="shared" si="4"/>
        <v>20</v>
      </c>
      <c r="DE23" s="68">
        <f t="shared" si="4"/>
        <v>19</v>
      </c>
      <c r="DF23" s="68">
        <f t="shared" si="4"/>
        <v>19</v>
      </c>
      <c r="DG23" s="68">
        <f t="shared" si="4"/>
        <v>19</v>
      </c>
      <c r="DH23" s="68">
        <f t="shared" si="4"/>
        <v>18</v>
      </c>
      <c r="DI23" s="68">
        <f t="shared" si="4"/>
        <v>17</v>
      </c>
      <c r="DJ23" s="68">
        <f t="shared" si="4"/>
        <v>16</v>
      </c>
      <c r="DK23" s="68">
        <f t="shared" si="4"/>
        <v>16</v>
      </c>
      <c r="DL23" s="68">
        <f t="shared" si="4"/>
        <v>16</v>
      </c>
      <c r="DM23" s="68">
        <f t="shared" si="4"/>
        <v>15</v>
      </c>
      <c r="DN23" s="68">
        <f t="shared" si="4"/>
        <v>14</v>
      </c>
      <c r="DO23" s="68">
        <f t="shared" si="4"/>
        <v>13</v>
      </c>
      <c r="DP23" s="68">
        <f t="shared" si="4"/>
        <v>13</v>
      </c>
      <c r="DQ23" s="68">
        <f t="shared" si="4"/>
        <v>13</v>
      </c>
      <c r="DR23" s="68">
        <f t="shared" si="4"/>
        <v>13</v>
      </c>
      <c r="DS23" s="68">
        <f t="shared" si="4"/>
        <v>12</v>
      </c>
      <c r="DT23" s="68">
        <f t="shared" si="4"/>
        <v>12</v>
      </c>
      <c r="DU23" s="68">
        <f t="shared" si="4"/>
        <v>12</v>
      </c>
      <c r="DV23" s="68">
        <f t="shared" si="4"/>
        <v>11</v>
      </c>
      <c r="DW23" s="68">
        <f t="shared" si="4"/>
        <v>11</v>
      </c>
      <c r="DX23" s="68">
        <f t="shared" si="4"/>
        <v>11</v>
      </c>
      <c r="DY23" s="68">
        <f t="shared" si="4"/>
        <v>11</v>
      </c>
      <c r="DZ23" s="68">
        <f t="shared" si="4"/>
        <v>10</v>
      </c>
      <c r="EA23" s="68">
        <f t="shared" si="4"/>
        <v>10</v>
      </c>
      <c r="EB23" s="68">
        <f t="shared" si="4"/>
        <v>10</v>
      </c>
      <c r="EC23" s="68">
        <f t="shared" si="4"/>
        <v>10</v>
      </c>
      <c r="ED23" s="68">
        <f t="shared" si="4"/>
        <v>10</v>
      </c>
      <c r="EE23" s="68">
        <f t="shared" ref="EE23:EV23" si="5">SUM(EE6:EE21)</f>
        <v>9</v>
      </c>
      <c r="EF23" s="68">
        <f t="shared" si="5"/>
        <v>9</v>
      </c>
      <c r="EG23" s="68">
        <f t="shared" si="5"/>
        <v>9</v>
      </c>
      <c r="EH23" s="68">
        <f t="shared" si="5"/>
        <v>8</v>
      </c>
      <c r="EI23" s="68">
        <f t="shared" si="5"/>
        <v>7</v>
      </c>
      <c r="EJ23" s="68">
        <f t="shared" si="5"/>
        <v>6</v>
      </c>
      <c r="EK23" s="68">
        <f t="shared" si="5"/>
        <v>5</v>
      </c>
      <c r="EL23" s="68">
        <f t="shared" si="5"/>
        <v>5</v>
      </c>
      <c r="EM23" s="68">
        <f t="shared" si="5"/>
        <v>4</v>
      </c>
      <c r="EN23" s="68">
        <f t="shared" si="5"/>
        <v>3</v>
      </c>
      <c r="EO23" s="68">
        <f t="shared" si="5"/>
        <v>3</v>
      </c>
      <c r="EP23" s="68">
        <f t="shared" si="5"/>
        <v>3</v>
      </c>
      <c r="EQ23" s="68">
        <f t="shared" si="5"/>
        <v>2</v>
      </c>
      <c r="ER23" s="68">
        <f t="shared" si="5"/>
        <v>2</v>
      </c>
      <c r="ES23" s="68">
        <f t="shared" si="5"/>
        <v>2</v>
      </c>
      <c r="ET23" s="68">
        <f t="shared" si="5"/>
        <v>1</v>
      </c>
      <c r="EU23" s="68">
        <f t="shared" si="5"/>
        <v>1</v>
      </c>
      <c r="EV23" s="68">
        <f t="shared" si="5"/>
        <v>1</v>
      </c>
    </row>
    <row r="24" spans="1:152">
      <c r="A24" s="1" t="s">
        <v>3024</v>
      </c>
    </row>
    <row r="25" spans="1:152">
      <c r="F25" s="78"/>
    </row>
    <row r="26" spans="1:152">
      <c r="F26" s="66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A6E6C-40BB-B14C-AD3C-06CB70E736AD}">
  <dimension ref="A1:EV25"/>
  <sheetViews>
    <sheetView zoomScale="150" zoomScaleNormal="150" workbookViewId="0">
      <pane xSplit="7" ySplit="5" topLeftCell="DG6" activePane="bottomRight" state="frozen"/>
      <selection pane="topRight" activeCell="F1" sqref="F1"/>
      <selection pane="bottomLeft" activeCell="A5" sqref="A5"/>
      <selection pane="bottomRight" activeCell="A5" sqref="A5"/>
    </sheetView>
  </sheetViews>
  <sheetFormatPr baseColWidth="10" defaultRowHeight="16"/>
  <cols>
    <col min="1" max="1" width="10.5" style="1" customWidth="1"/>
    <col min="2" max="2" width="15" style="1" customWidth="1"/>
    <col min="3" max="3" width="13.33203125" style="1" customWidth="1"/>
    <col min="4" max="5" width="9.33203125" style="1" customWidth="1"/>
    <col min="6" max="6" width="18.83203125" style="1" customWidth="1"/>
    <col min="7" max="7" width="10.6640625" style="1" customWidth="1"/>
    <col min="8" max="9" width="11" style="1" customWidth="1"/>
    <col min="10" max="16384" width="10.83203125" style="1"/>
  </cols>
  <sheetData>
    <row r="1" spans="1:114">
      <c r="G1" s="13" t="s">
        <v>1103</v>
      </c>
    </row>
    <row r="2" spans="1:114">
      <c r="G2" s="13" t="s">
        <v>1102</v>
      </c>
      <c r="H2" s="1" t="s">
        <v>165</v>
      </c>
      <c r="I2" s="1" t="s">
        <v>165</v>
      </c>
      <c r="J2" s="1" t="s">
        <v>165</v>
      </c>
      <c r="K2" s="1" t="s">
        <v>165</v>
      </c>
      <c r="L2" s="1" t="s">
        <v>165</v>
      </c>
      <c r="M2" s="1" t="s">
        <v>165</v>
      </c>
      <c r="N2" s="1" t="s">
        <v>269</v>
      </c>
      <c r="O2" s="1" t="s">
        <v>165</v>
      </c>
      <c r="P2" s="1" t="s">
        <v>126</v>
      </c>
      <c r="Q2" s="1" t="s">
        <v>165</v>
      </c>
      <c r="R2" s="1" t="s">
        <v>165</v>
      </c>
      <c r="T2" s="1" t="s">
        <v>165</v>
      </c>
      <c r="U2" s="1" t="s">
        <v>165</v>
      </c>
      <c r="W2" s="1" t="s">
        <v>165</v>
      </c>
      <c r="Y2" s="1" t="s">
        <v>165</v>
      </c>
      <c r="AA2" s="1" t="s">
        <v>165</v>
      </c>
      <c r="AE2" s="1" t="s">
        <v>165</v>
      </c>
      <c r="AG2" s="1" t="s">
        <v>165</v>
      </c>
      <c r="AH2" s="1" t="s">
        <v>165</v>
      </c>
      <c r="AI2" s="1" t="s">
        <v>165</v>
      </c>
      <c r="AJ2" s="1" t="s">
        <v>165</v>
      </c>
      <c r="AN2" s="1" t="s">
        <v>165</v>
      </c>
      <c r="AO2" s="1" t="s">
        <v>165</v>
      </c>
      <c r="AQ2" s="1" t="s">
        <v>165</v>
      </c>
      <c r="AS2" s="1" t="s">
        <v>165</v>
      </c>
      <c r="AT2" s="1" t="s">
        <v>165</v>
      </c>
      <c r="AU2" s="1" t="s">
        <v>165</v>
      </c>
      <c r="AW2" s="1" t="s">
        <v>165</v>
      </c>
      <c r="AX2" s="1" t="s">
        <v>165</v>
      </c>
      <c r="AY2" s="1" t="s">
        <v>165</v>
      </c>
      <c r="AZ2" s="1" t="s">
        <v>165</v>
      </c>
      <c r="BA2" s="1" t="s">
        <v>165</v>
      </c>
      <c r="BB2" s="1" t="s">
        <v>165</v>
      </c>
      <c r="BC2" s="1" t="s">
        <v>165</v>
      </c>
      <c r="BD2" s="1" t="s">
        <v>165</v>
      </c>
      <c r="BE2" s="1" t="s">
        <v>165</v>
      </c>
      <c r="BG2" s="1" t="s">
        <v>165</v>
      </c>
      <c r="BH2" s="1" t="s">
        <v>165</v>
      </c>
      <c r="BI2" s="1" t="s">
        <v>165</v>
      </c>
      <c r="BJ2" s="1" t="s">
        <v>165</v>
      </c>
      <c r="BK2" s="1" t="s">
        <v>165</v>
      </c>
      <c r="BN2" s="1" t="s">
        <v>165</v>
      </c>
      <c r="BO2" s="1" t="s">
        <v>165</v>
      </c>
      <c r="BP2" s="1" t="s">
        <v>165</v>
      </c>
      <c r="BS2" s="1" t="s">
        <v>165</v>
      </c>
      <c r="BU2" s="1" t="s">
        <v>165</v>
      </c>
      <c r="BV2" s="1" t="s">
        <v>165</v>
      </c>
      <c r="BW2" s="1" t="s">
        <v>165</v>
      </c>
      <c r="BX2" s="1" t="s">
        <v>165</v>
      </c>
      <c r="BY2" s="1" t="s">
        <v>165</v>
      </c>
      <c r="CA2" s="1" t="s">
        <v>165</v>
      </c>
      <c r="CB2" s="1" t="s">
        <v>165</v>
      </c>
      <c r="CC2" s="1" t="s">
        <v>165</v>
      </c>
      <c r="CE2" s="1" t="s">
        <v>165</v>
      </c>
      <c r="CF2" s="1" t="s">
        <v>165</v>
      </c>
      <c r="CI2" s="1" t="s">
        <v>165</v>
      </c>
      <c r="CJ2" s="1" t="s">
        <v>165</v>
      </c>
      <c r="CK2" s="1" t="s">
        <v>165</v>
      </c>
      <c r="CL2" s="1" t="s">
        <v>165</v>
      </c>
      <c r="CN2" s="1" t="s">
        <v>165</v>
      </c>
      <c r="CQ2" s="1" t="s">
        <v>165</v>
      </c>
      <c r="CS2" s="1" t="s">
        <v>165</v>
      </c>
      <c r="CU2" s="1" t="s">
        <v>165</v>
      </c>
      <c r="CW2" s="1" t="s">
        <v>165</v>
      </c>
      <c r="CX2" s="1" t="s">
        <v>165</v>
      </c>
      <c r="CY2" s="1" t="s">
        <v>165</v>
      </c>
      <c r="DA2" s="1" t="s">
        <v>165</v>
      </c>
      <c r="DB2" s="1" t="s">
        <v>165</v>
      </c>
      <c r="DC2" s="1" t="s">
        <v>165</v>
      </c>
      <c r="DD2" s="1" t="s">
        <v>165</v>
      </c>
      <c r="DE2" s="1" t="s">
        <v>165</v>
      </c>
      <c r="DF2" s="1" t="s">
        <v>165</v>
      </c>
      <c r="DG2" s="1" t="s">
        <v>165</v>
      </c>
      <c r="DH2" s="1" t="s">
        <v>165</v>
      </c>
      <c r="DI2" s="1" t="s">
        <v>165</v>
      </c>
      <c r="DJ2" s="1" t="s">
        <v>165</v>
      </c>
    </row>
    <row r="3" spans="1:114">
      <c r="F3" s="13"/>
      <c r="G3" s="13" t="s">
        <v>1101</v>
      </c>
      <c r="H3" s="1" t="s">
        <v>222</v>
      </c>
      <c r="J3" s="1" t="s">
        <v>246</v>
      </c>
      <c r="K3" s="1" t="s">
        <v>256</v>
      </c>
      <c r="M3" s="1" t="s">
        <v>179</v>
      </c>
      <c r="P3" s="1" t="s">
        <v>125</v>
      </c>
      <c r="T3" s="1" t="s">
        <v>243</v>
      </c>
      <c r="BS3" s="1" t="s">
        <v>246</v>
      </c>
      <c r="BW3" s="1" t="s">
        <v>222</v>
      </c>
    </row>
    <row r="4" spans="1:114">
      <c r="A4" s="13" t="s">
        <v>3036</v>
      </c>
      <c r="F4" s="13"/>
      <c r="G4" s="13" t="s">
        <v>1100</v>
      </c>
      <c r="H4" s="1" t="s">
        <v>1210</v>
      </c>
      <c r="I4" s="1" t="s">
        <v>1209</v>
      </c>
      <c r="J4" s="1" t="s">
        <v>1208</v>
      </c>
      <c r="K4" s="1" t="s">
        <v>1207</v>
      </c>
      <c r="L4" s="1" t="s">
        <v>1206</v>
      </c>
      <c r="M4" s="1" t="s">
        <v>1205</v>
      </c>
      <c r="N4" s="1" t="s">
        <v>1204</v>
      </c>
      <c r="O4" s="1" t="s">
        <v>1203</v>
      </c>
      <c r="P4" s="1" t="s">
        <v>1202</v>
      </c>
      <c r="Q4" s="1" t="s">
        <v>1201</v>
      </c>
      <c r="R4" s="1" t="s">
        <v>1200</v>
      </c>
      <c r="S4" s="1" t="s">
        <v>1199</v>
      </c>
      <c r="T4" s="1" t="s">
        <v>1198</v>
      </c>
      <c r="U4" s="1" t="s">
        <v>1197</v>
      </c>
      <c r="V4" s="1" t="s">
        <v>1196</v>
      </c>
      <c r="W4" s="1" t="s">
        <v>1195</v>
      </c>
      <c r="X4" s="1" t="s">
        <v>1194</v>
      </c>
      <c r="Y4" s="1" t="s">
        <v>1193</v>
      </c>
      <c r="Z4" s="1" t="s">
        <v>1192</v>
      </c>
      <c r="AA4" s="1" t="s">
        <v>1191</v>
      </c>
      <c r="AB4" s="1" t="s">
        <v>1190</v>
      </c>
      <c r="AC4" s="1" t="s">
        <v>1189</v>
      </c>
      <c r="AD4" s="1" t="s">
        <v>1188</v>
      </c>
      <c r="AE4" s="1" t="s">
        <v>1187</v>
      </c>
      <c r="AF4" s="1" t="s">
        <v>1186</v>
      </c>
      <c r="AG4" s="1" t="s">
        <v>1185</v>
      </c>
      <c r="AH4" s="1" t="s">
        <v>1184</v>
      </c>
      <c r="AI4" s="1" t="s">
        <v>1183</v>
      </c>
      <c r="AJ4" s="1" t="s">
        <v>1182</v>
      </c>
      <c r="AK4" s="1" t="s">
        <v>1181</v>
      </c>
      <c r="AL4" s="1" t="s">
        <v>1180</v>
      </c>
      <c r="AM4" s="1" t="s">
        <v>1179</v>
      </c>
      <c r="AN4" s="1" t="s">
        <v>1178</v>
      </c>
      <c r="AO4" s="1" t="s">
        <v>1177</v>
      </c>
      <c r="AP4" s="1" t="s">
        <v>1176</v>
      </c>
      <c r="AQ4" s="1" t="s">
        <v>1175</v>
      </c>
      <c r="AR4" s="1" t="s">
        <v>1174</v>
      </c>
      <c r="AS4" s="1" t="s">
        <v>1173</v>
      </c>
      <c r="AT4" s="1" t="s">
        <v>1172</v>
      </c>
      <c r="AU4" s="1" t="s">
        <v>1171</v>
      </c>
      <c r="AV4" s="1" t="s">
        <v>1170</v>
      </c>
      <c r="AW4" s="1" t="s">
        <v>1169</v>
      </c>
      <c r="AX4" s="1" t="s">
        <v>1168</v>
      </c>
      <c r="AY4" s="1" t="s">
        <v>1167</v>
      </c>
      <c r="AZ4" s="1" t="s">
        <v>1166</v>
      </c>
      <c r="BA4" s="1" t="s">
        <v>1165</v>
      </c>
      <c r="BB4" s="1" t="s">
        <v>1164</v>
      </c>
      <c r="BC4" s="1" t="s">
        <v>1163</v>
      </c>
      <c r="BD4" s="1" t="s">
        <v>1162</v>
      </c>
      <c r="BE4" s="1" t="s">
        <v>1161</v>
      </c>
      <c r="BF4" s="1" t="s">
        <v>1160</v>
      </c>
      <c r="BG4" s="1" t="s">
        <v>1159</v>
      </c>
      <c r="BH4" s="1" t="s">
        <v>1158</v>
      </c>
      <c r="BI4" s="1" t="s">
        <v>1157</v>
      </c>
      <c r="BJ4" s="1" t="s">
        <v>1156</v>
      </c>
      <c r="BK4" s="1" t="s">
        <v>1155</v>
      </c>
      <c r="BL4" s="1" t="s">
        <v>1154</v>
      </c>
      <c r="BM4" s="1" t="s">
        <v>1153</v>
      </c>
      <c r="BN4" s="1" t="s">
        <v>1152</v>
      </c>
      <c r="BO4" s="1" t="s">
        <v>1151</v>
      </c>
      <c r="BP4" s="1" t="s">
        <v>1150</v>
      </c>
      <c r="BQ4" s="1" t="s">
        <v>1149</v>
      </c>
      <c r="BR4" s="1" t="s">
        <v>1148</v>
      </c>
      <c r="BS4" s="1" t="s">
        <v>1147</v>
      </c>
      <c r="BT4" s="1" t="s">
        <v>1146</v>
      </c>
      <c r="BU4" s="1" t="s">
        <v>1145</v>
      </c>
      <c r="BV4" s="1" t="s">
        <v>1144</v>
      </c>
      <c r="BW4" s="1" t="s">
        <v>1143</v>
      </c>
      <c r="BX4" s="1" t="s">
        <v>1142</v>
      </c>
      <c r="BY4" s="1" t="s">
        <v>1141</v>
      </c>
      <c r="BZ4" s="1" t="s">
        <v>1140</v>
      </c>
      <c r="CA4" s="1" t="s">
        <v>1139</v>
      </c>
      <c r="CB4" s="1" t="s">
        <v>1138</v>
      </c>
      <c r="CC4" s="1" t="s">
        <v>1137</v>
      </c>
      <c r="CD4" s="1" t="s">
        <v>1136</v>
      </c>
      <c r="CE4" s="1" t="s">
        <v>1135</v>
      </c>
      <c r="CF4" s="1" t="s">
        <v>1134</v>
      </c>
      <c r="CG4" s="1" t="s">
        <v>1133</v>
      </c>
      <c r="CH4" s="1" t="s">
        <v>1132</v>
      </c>
      <c r="CI4" s="1" t="s">
        <v>1131</v>
      </c>
      <c r="CJ4" s="1" t="s">
        <v>1130</v>
      </c>
      <c r="CK4" s="1" t="s">
        <v>1129</v>
      </c>
      <c r="CL4" s="1" t="s">
        <v>1128</v>
      </c>
      <c r="CM4" s="1" t="s">
        <v>1127</v>
      </c>
      <c r="CN4" s="1" t="s">
        <v>1126</v>
      </c>
      <c r="CO4" s="1" t="s">
        <v>1125</v>
      </c>
      <c r="CP4" s="1" t="s">
        <v>1124</v>
      </c>
      <c r="CQ4" s="1" t="s">
        <v>1123</v>
      </c>
      <c r="CR4" s="1" t="s">
        <v>1122</v>
      </c>
      <c r="CS4" s="1" t="s">
        <v>1121</v>
      </c>
      <c r="CT4" s="1" t="s">
        <v>1120</v>
      </c>
      <c r="CU4" s="1" t="s">
        <v>1119</v>
      </c>
      <c r="CV4" s="1" t="s">
        <v>1118</v>
      </c>
      <c r="CW4" s="1" t="s">
        <v>1117</v>
      </c>
      <c r="CX4" s="1" t="s">
        <v>1116</v>
      </c>
      <c r="CY4" s="1" t="s">
        <v>1115</v>
      </c>
      <c r="CZ4" s="1" t="s">
        <v>1114</v>
      </c>
      <c r="DA4" s="1" t="s">
        <v>1113</v>
      </c>
      <c r="DB4" s="1" t="s">
        <v>1112</v>
      </c>
      <c r="DC4" s="1" t="s">
        <v>1111</v>
      </c>
      <c r="DD4" s="1" t="s">
        <v>1110</v>
      </c>
      <c r="DE4" s="1" t="s">
        <v>1109</v>
      </c>
      <c r="DF4" s="1" t="s">
        <v>1108</v>
      </c>
      <c r="DG4" s="1" t="s">
        <v>1107</v>
      </c>
      <c r="DH4" s="1" t="s">
        <v>1106</v>
      </c>
      <c r="DI4" s="1" t="s">
        <v>1105</v>
      </c>
      <c r="DJ4" s="1" t="s">
        <v>1104</v>
      </c>
    </row>
    <row r="5" spans="1:114" s="60" customFormat="1">
      <c r="A5" s="60" t="s">
        <v>954</v>
      </c>
      <c r="B5" s="60" t="s">
        <v>953</v>
      </c>
      <c r="C5" s="60" t="s">
        <v>952</v>
      </c>
      <c r="D5" s="60" t="s">
        <v>951</v>
      </c>
      <c r="E5" s="60" t="s">
        <v>950</v>
      </c>
      <c r="F5" s="60" t="s">
        <v>949</v>
      </c>
      <c r="G5" s="60" t="s">
        <v>948</v>
      </c>
      <c r="H5" s="80" t="s">
        <v>947</v>
      </c>
      <c r="I5" s="80" t="s">
        <v>946</v>
      </c>
      <c r="J5" s="80" t="s">
        <v>945</v>
      </c>
      <c r="K5" s="80" t="s">
        <v>944</v>
      </c>
      <c r="L5" s="80" t="s">
        <v>943</v>
      </c>
      <c r="M5" s="80" t="s">
        <v>942</v>
      </c>
      <c r="N5" s="80" t="s">
        <v>941</v>
      </c>
      <c r="O5" s="80" t="s">
        <v>940</v>
      </c>
      <c r="P5" s="80" t="s">
        <v>939</v>
      </c>
      <c r="Q5" s="80" t="s">
        <v>938</v>
      </c>
      <c r="R5" s="80" t="s">
        <v>937</v>
      </c>
      <c r="S5" s="80" t="s">
        <v>936</v>
      </c>
      <c r="T5" s="80" t="s">
        <v>935</v>
      </c>
      <c r="U5" s="80" t="s">
        <v>934</v>
      </c>
      <c r="V5" s="80" t="s">
        <v>933</v>
      </c>
      <c r="W5" s="80" t="s">
        <v>932</v>
      </c>
      <c r="X5" s="80" t="s">
        <v>931</v>
      </c>
      <c r="Y5" s="80" t="s">
        <v>930</v>
      </c>
      <c r="Z5" s="80" t="s">
        <v>929</v>
      </c>
      <c r="AA5" s="80" t="s">
        <v>928</v>
      </c>
      <c r="AB5" s="80" t="s">
        <v>927</v>
      </c>
      <c r="AC5" s="80" t="s">
        <v>926</v>
      </c>
      <c r="AD5" s="80" t="s">
        <v>925</v>
      </c>
      <c r="AE5" s="80" t="s">
        <v>924</v>
      </c>
      <c r="AF5" s="80" t="s">
        <v>923</v>
      </c>
      <c r="AG5" s="80" t="s">
        <v>922</v>
      </c>
      <c r="AH5" s="80" t="s">
        <v>921</v>
      </c>
      <c r="AI5" s="80" t="s">
        <v>920</v>
      </c>
      <c r="AJ5" s="80" t="s">
        <v>919</v>
      </c>
      <c r="AK5" s="80" t="s">
        <v>918</v>
      </c>
      <c r="AL5" s="80" t="s">
        <v>917</v>
      </c>
      <c r="AM5" s="80" t="s">
        <v>916</v>
      </c>
      <c r="AN5" s="80" t="s">
        <v>915</v>
      </c>
      <c r="AO5" s="80" t="s">
        <v>914</v>
      </c>
      <c r="AP5" s="80" t="s">
        <v>913</v>
      </c>
      <c r="AQ5" s="80" t="s">
        <v>912</v>
      </c>
      <c r="AR5" s="80" t="s">
        <v>911</v>
      </c>
      <c r="AS5" s="80" t="s">
        <v>910</v>
      </c>
      <c r="AT5" s="80" t="s">
        <v>909</v>
      </c>
      <c r="AU5" s="80" t="s">
        <v>908</v>
      </c>
      <c r="AV5" s="80" t="s">
        <v>907</v>
      </c>
      <c r="AW5" s="80" t="s">
        <v>906</v>
      </c>
      <c r="AX5" s="80" t="s">
        <v>905</v>
      </c>
      <c r="AY5" s="80" t="s">
        <v>904</v>
      </c>
      <c r="AZ5" s="80" t="s">
        <v>903</v>
      </c>
      <c r="BA5" s="80" t="s">
        <v>902</v>
      </c>
      <c r="BB5" s="80" t="s">
        <v>901</v>
      </c>
      <c r="BC5" s="80" t="s">
        <v>900</v>
      </c>
      <c r="BD5" s="80" t="s">
        <v>899</v>
      </c>
      <c r="BE5" s="80" t="s">
        <v>898</v>
      </c>
      <c r="BF5" s="80" t="s">
        <v>897</v>
      </c>
      <c r="BG5" s="80" t="s">
        <v>896</v>
      </c>
      <c r="BH5" s="80" t="s">
        <v>895</v>
      </c>
      <c r="BI5" s="80" t="s">
        <v>894</v>
      </c>
      <c r="BJ5" s="80" t="s">
        <v>893</v>
      </c>
      <c r="BK5" s="80" t="s">
        <v>892</v>
      </c>
      <c r="BL5" s="80" t="s">
        <v>891</v>
      </c>
      <c r="BM5" s="80" t="s">
        <v>890</v>
      </c>
      <c r="BN5" s="80" t="s">
        <v>889</v>
      </c>
      <c r="BO5" s="80" t="s">
        <v>888</v>
      </c>
      <c r="BP5" s="80" t="s">
        <v>887</v>
      </c>
      <c r="BQ5" s="80" t="s">
        <v>886</v>
      </c>
      <c r="BR5" s="80" t="s">
        <v>885</v>
      </c>
      <c r="BS5" s="80" t="s">
        <v>884</v>
      </c>
      <c r="BT5" s="80" t="s">
        <v>883</v>
      </c>
      <c r="BU5" s="80" t="s">
        <v>882</v>
      </c>
      <c r="BV5" s="80" t="s">
        <v>881</v>
      </c>
      <c r="BW5" s="80" t="s">
        <v>880</v>
      </c>
      <c r="BX5" s="80" t="s">
        <v>879</v>
      </c>
      <c r="BY5" s="80" t="s">
        <v>878</v>
      </c>
      <c r="BZ5" s="80" t="s">
        <v>877</v>
      </c>
      <c r="CA5" s="80" t="s">
        <v>876</v>
      </c>
      <c r="CB5" s="80" t="s">
        <v>875</v>
      </c>
      <c r="CC5" s="80" t="s">
        <v>874</v>
      </c>
      <c r="CD5" s="80" t="s">
        <v>873</v>
      </c>
      <c r="CE5" s="80" t="s">
        <v>872</v>
      </c>
      <c r="CF5" s="80" t="s">
        <v>871</v>
      </c>
      <c r="CG5" s="80" t="s">
        <v>870</v>
      </c>
      <c r="CH5" s="80" t="s">
        <v>869</v>
      </c>
      <c r="CI5" s="80" t="s">
        <v>868</v>
      </c>
      <c r="CJ5" s="80" t="s">
        <v>867</v>
      </c>
      <c r="CK5" s="80" t="s">
        <v>866</v>
      </c>
      <c r="CL5" s="80" t="s">
        <v>865</v>
      </c>
      <c r="CM5" s="80" t="s">
        <v>864</v>
      </c>
      <c r="CN5" s="80" t="s">
        <v>863</v>
      </c>
      <c r="CO5" s="80" t="s">
        <v>862</v>
      </c>
      <c r="CP5" s="80" t="s">
        <v>861</v>
      </c>
      <c r="CQ5" s="80" t="s">
        <v>860</v>
      </c>
      <c r="CR5" s="80" t="s">
        <v>859</v>
      </c>
      <c r="CS5" s="80" t="s">
        <v>858</v>
      </c>
      <c r="CT5" s="80" t="s">
        <v>857</v>
      </c>
      <c r="CU5" s="80" t="s">
        <v>856</v>
      </c>
      <c r="CV5" s="80" t="s">
        <v>855</v>
      </c>
      <c r="CW5" s="80" t="s">
        <v>854</v>
      </c>
      <c r="CX5" s="80" t="s">
        <v>853</v>
      </c>
      <c r="CY5" s="80" t="s">
        <v>852</v>
      </c>
      <c r="CZ5" s="80" t="s">
        <v>851</v>
      </c>
      <c r="DA5" s="80" t="s">
        <v>850</v>
      </c>
      <c r="DB5" s="80" t="s">
        <v>849</v>
      </c>
      <c r="DC5" s="80" t="s">
        <v>848</v>
      </c>
      <c r="DD5" s="80" t="s">
        <v>847</v>
      </c>
      <c r="DE5" s="80" t="s">
        <v>846</v>
      </c>
      <c r="DF5" s="80" t="s">
        <v>845</v>
      </c>
      <c r="DG5" s="80" t="s">
        <v>844</v>
      </c>
      <c r="DH5" s="80" t="s">
        <v>843</v>
      </c>
      <c r="DI5" s="80" t="s">
        <v>842</v>
      </c>
      <c r="DJ5" s="80" t="s">
        <v>841</v>
      </c>
    </row>
    <row r="6" spans="1:114">
      <c r="A6" s="1" t="s">
        <v>714</v>
      </c>
      <c r="B6" s="1" t="s">
        <v>802</v>
      </c>
      <c r="C6" s="1" t="s">
        <v>788</v>
      </c>
      <c r="D6" s="1" t="s">
        <v>685</v>
      </c>
      <c r="E6" s="1" t="s">
        <v>685</v>
      </c>
      <c r="F6" s="1" t="s">
        <v>3029</v>
      </c>
      <c r="G6" s="77">
        <f t="shared" ref="G6:G21" si="0">SUM(H6:DJ6)</f>
        <v>77531</v>
      </c>
      <c r="H6" s="66">
        <v>36401</v>
      </c>
      <c r="I6" s="66">
        <v>14735</v>
      </c>
      <c r="J6" s="66">
        <v>0</v>
      </c>
      <c r="K6" s="66">
        <v>23419</v>
      </c>
      <c r="L6" s="66">
        <v>1482</v>
      </c>
      <c r="M6" s="66">
        <v>0</v>
      </c>
      <c r="N6" s="66">
        <v>0</v>
      </c>
      <c r="O6" s="66">
        <v>1</v>
      </c>
      <c r="P6" s="66">
        <v>0</v>
      </c>
      <c r="Q6" s="66">
        <v>233</v>
      </c>
      <c r="R6" s="66">
        <v>2</v>
      </c>
      <c r="S6" s="66">
        <v>17</v>
      </c>
      <c r="T6" s="66">
        <v>24</v>
      </c>
      <c r="U6" s="66">
        <v>0</v>
      </c>
      <c r="V6" s="66">
        <v>0</v>
      </c>
      <c r="W6" s="66">
        <v>0</v>
      </c>
      <c r="X6" s="66">
        <v>218</v>
      </c>
      <c r="Y6" s="66">
        <v>0</v>
      </c>
      <c r="Z6" s="66">
        <v>0</v>
      </c>
      <c r="AA6" s="66">
        <v>15</v>
      </c>
      <c r="AB6" s="66">
        <v>0</v>
      </c>
      <c r="AC6" s="66">
        <v>0</v>
      </c>
      <c r="AD6" s="66">
        <v>0</v>
      </c>
      <c r="AE6" s="66">
        <v>0</v>
      </c>
      <c r="AF6" s="66">
        <v>0</v>
      </c>
      <c r="AG6" s="66">
        <v>0</v>
      </c>
      <c r="AH6" s="66">
        <v>0</v>
      </c>
      <c r="AI6" s="66">
        <v>0</v>
      </c>
      <c r="AJ6" s="66">
        <v>0</v>
      </c>
      <c r="AK6" s="66">
        <v>6</v>
      </c>
      <c r="AL6" s="66">
        <v>104</v>
      </c>
      <c r="AM6" s="66">
        <v>0</v>
      </c>
      <c r="AN6" s="66">
        <v>45</v>
      </c>
      <c r="AO6" s="66">
        <v>31</v>
      </c>
      <c r="AP6" s="66">
        <v>121</v>
      </c>
      <c r="AQ6" s="66">
        <v>0</v>
      </c>
      <c r="AR6" s="66">
        <v>45</v>
      </c>
      <c r="AS6" s="66">
        <v>0</v>
      </c>
      <c r="AT6" s="66">
        <v>104</v>
      </c>
      <c r="AU6" s="66">
        <v>73</v>
      </c>
      <c r="AV6" s="66">
        <v>0</v>
      </c>
      <c r="AW6" s="66">
        <v>3</v>
      </c>
      <c r="AX6" s="66">
        <v>0</v>
      </c>
      <c r="AY6" s="66">
        <v>7</v>
      </c>
      <c r="AZ6" s="66">
        <v>90</v>
      </c>
      <c r="BA6" s="66">
        <v>0</v>
      </c>
      <c r="BB6" s="66">
        <v>0</v>
      </c>
      <c r="BC6" s="66">
        <v>0</v>
      </c>
      <c r="BD6" s="66">
        <v>53</v>
      </c>
      <c r="BE6" s="66">
        <v>6</v>
      </c>
      <c r="BF6" s="66">
        <v>4</v>
      </c>
      <c r="BG6" s="66">
        <v>45</v>
      </c>
      <c r="BH6" s="66">
        <v>0</v>
      </c>
      <c r="BI6" s="66">
        <v>0</v>
      </c>
      <c r="BJ6" s="66">
        <v>9</v>
      </c>
      <c r="BK6" s="66">
        <v>44</v>
      </c>
      <c r="BL6" s="66">
        <v>2</v>
      </c>
      <c r="BM6" s="66">
        <v>1</v>
      </c>
      <c r="BN6" s="66">
        <v>24</v>
      </c>
      <c r="BO6" s="66">
        <v>0</v>
      </c>
      <c r="BP6" s="66">
        <v>2</v>
      </c>
      <c r="BQ6" s="66">
        <v>0</v>
      </c>
      <c r="BR6" s="66">
        <v>31</v>
      </c>
      <c r="BS6" s="66">
        <v>0</v>
      </c>
      <c r="BT6" s="66">
        <v>21</v>
      </c>
      <c r="BU6" s="66">
        <v>0</v>
      </c>
      <c r="BV6" s="66">
        <v>0</v>
      </c>
      <c r="BW6" s="66">
        <v>0</v>
      </c>
      <c r="BX6" s="66">
        <v>0</v>
      </c>
      <c r="BY6" s="66">
        <v>0</v>
      </c>
      <c r="BZ6" s="66">
        <v>23</v>
      </c>
      <c r="CA6" s="66">
        <v>0</v>
      </c>
      <c r="CB6" s="66">
        <v>5</v>
      </c>
      <c r="CC6" s="66">
        <v>15</v>
      </c>
      <c r="CD6" s="66">
        <v>25</v>
      </c>
      <c r="CE6" s="66">
        <v>0</v>
      </c>
      <c r="CF6" s="66">
        <v>11</v>
      </c>
      <c r="CG6" s="66">
        <v>0</v>
      </c>
      <c r="CH6" s="66">
        <v>7</v>
      </c>
      <c r="CI6" s="66">
        <v>16</v>
      </c>
      <c r="CJ6" s="66">
        <v>0</v>
      </c>
      <c r="CK6" s="66">
        <v>0</v>
      </c>
      <c r="CL6" s="66">
        <v>0</v>
      </c>
      <c r="CM6" s="66">
        <v>0</v>
      </c>
      <c r="CN6" s="66">
        <v>1</v>
      </c>
      <c r="CO6" s="66">
        <v>0</v>
      </c>
      <c r="CP6" s="66">
        <v>0</v>
      </c>
      <c r="CQ6" s="66">
        <v>0</v>
      </c>
      <c r="CR6" s="66">
        <v>0</v>
      </c>
      <c r="CS6" s="66">
        <v>0</v>
      </c>
      <c r="CT6" s="66">
        <v>0</v>
      </c>
      <c r="CU6" s="66">
        <v>4</v>
      </c>
      <c r="CV6" s="66">
        <v>0</v>
      </c>
      <c r="CW6" s="66">
        <v>0</v>
      </c>
      <c r="CX6" s="66">
        <v>3</v>
      </c>
      <c r="CY6" s="66">
        <v>0</v>
      </c>
      <c r="CZ6" s="66">
        <v>1</v>
      </c>
      <c r="DA6" s="66">
        <v>0</v>
      </c>
      <c r="DB6" s="66">
        <v>0</v>
      </c>
      <c r="DC6" s="66">
        <v>0</v>
      </c>
      <c r="DD6" s="66">
        <v>0</v>
      </c>
      <c r="DE6" s="66">
        <v>0</v>
      </c>
      <c r="DF6" s="66">
        <v>0</v>
      </c>
      <c r="DG6" s="66">
        <v>1</v>
      </c>
      <c r="DH6" s="66">
        <v>1</v>
      </c>
      <c r="DI6" s="66">
        <v>0</v>
      </c>
      <c r="DJ6" s="66">
        <v>0</v>
      </c>
    </row>
    <row r="7" spans="1:114">
      <c r="A7" s="1" t="s">
        <v>713</v>
      </c>
      <c r="B7" s="1" t="s">
        <v>801</v>
      </c>
      <c r="C7" s="1" t="s">
        <v>788</v>
      </c>
      <c r="D7" s="1" t="s">
        <v>685</v>
      </c>
      <c r="E7" s="1" t="s">
        <v>685</v>
      </c>
      <c r="F7" s="1" t="s">
        <v>3029</v>
      </c>
      <c r="G7" s="77">
        <f t="shared" si="0"/>
        <v>106727</v>
      </c>
      <c r="H7" s="66">
        <v>803</v>
      </c>
      <c r="I7" s="66">
        <v>98506</v>
      </c>
      <c r="J7" s="66">
        <v>0</v>
      </c>
      <c r="K7" s="66">
        <v>3448</v>
      </c>
      <c r="L7" s="66">
        <v>1429</v>
      </c>
      <c r="M7" s="66">
        <v>0</v>
      </c>
      <c r="N7" s="66">
        <v>0</v>
      </c>
      <c r="O7" s="66">
        <v>1</v>
      </c>
      <c r="P7" s="66">
        <v>808</v>
      </c>
      <c r="Q7" s="66">
        <v>25</v>
      </c>
      <c r="R7" s="66">
        <v>0</v>
      </c>
      <c r="S7" s="66">
        <v>185</v>
      </c>
      <c r="T7" s="66">
        <v>58</v>
      </c>
      <c r="U7" s="66">
        <v>0</v>
      </c>
      <c r="V7" s="66">
        <v>102</v>
      </c>
      <c r="W7" s="66">
        <v>0</v>
      </c>
      <c r="X7" s="66">
        <v>0</v>
      </c>
      <c r="Y7" s="66">
        <v>0</v>
      </c>
      <c r="Z7" s="66">
        <v>199</v>
      </c>
      <c r="AA7" s="66">
        <v>255</v>
      </c>
      <c r="AB7" s="66">
        <v>0</v>
      </c>
      <c r="AC7" s="66">
        <v>36</v>
      </c>
      <c r="AD7" s="66">
        <v>0</v>
      </c>
      <c r="AE7" s="66">
        <v>0</v>
      </c>
      <c r="AF7" s="66">
        <v>87</v>
      </c>
      <c r="AG7" s="66">
        <v>0</v>
      </c>
      <c r="AH7" s="66">
        <v>0</v>
      </c>
      <c r="AI7" s="66">
        <v>0</v>
      </c>
      <c r="AJ7" s="66">
        <v>241</v>
      </c>
      <c r="AK7" s="66">
        <v>205</v>
      </c>
      <c r="AL7" s="66">
        <v>0</v>
      </c>
      <c r="AM7" s="66">
        <v>0</v>
      </c>
      <c r="AN7" s="66">
        <v>0</v>
      </c>
      <c r="AO7" s="66">
        <v>28</v>
      </c>
      <c r="AP7" s="66">
        <v>2</v>
      </c>
      <c r="AQ7" s="66">
        <v>0</v>
      </c>
      <c r="AR7" s="66">
        <v>0</v>
      </c>
      <c r="AS7" s="66">
        <v>0</v>
      </c>
      <c r="AT7" s="66">
        <v>0</v>
      </c>
      <c r="AU7" s="66">
        <v>0</v>
      </c>
      <c r="AV7" s="66">
        <v>0</v>
      </c>
      <c r="AW7" s="66">
        <v>138</v>
      </c>
      <c r="AX7" s="66">
        <v>9</v>
      </c>
      <c r="AY7" s="66">
        <v>25</v>
      </c>
      <c r="AZ7" s="66">
        <v>0</v>
      </c>
      <c r="BA7" s="66">
        <v>0</v>
      </c>
      <c r="BB7" s="66">
        <v>0</v>
      </c>
      <c r="BC7" s="66">
        <v>0</v>
      </c>
      <c r="BD7" s="66">
        <v>0</v>
      </c>
      <c r="BE7" s="66">
        <v>84</v>
      </c>
      <c r="BF7" s="66">
        <v>29</v>
      </c>
      <c r="BG7" s="66">
        <v>2</v>
      </c>
      <c r="BH7" s="66">
        <v>0</v>
      </c>
      <c r="BI7" s="66">
        <v>0</v>
      </c>
      <c r="BJ7" s="66">
        <v>0</v>
      </c>
      <c r="BK7" s="66">
        <v>0</v>
      </c>
      <c r="BL7" s="66">
        <v>0</v>
      </c>
      <c r="BM7" s="66">
        <v>0</v>
      </c>
      <c r="BN7" s="66">
        <v>1</v>
      </c>
      <c r="BO7" s="66">
        <v>0</v>
      </c>
      <c r="BP7" s="66">
        <v>0</v>
      </c>
      <c r="BQ7" s="66">
        <v>0</v>
      </c>
      <c r="BR7" s="66">
        <v>0</v>
      </c>
      <c r="BS7" s="66">
        <v>0</v>
      </c>
      <c r="BT7" s="66">
        <v>0</v>
      </c>
      <c r="BU7" s="66">
        <v>0</v>
      </c>
      <c r="BV7" s="66">
        <v>0</v>
      </c>
      <c r="BW7" s="66">
        <v>0</v>
      </c>
      <c r="BX7" s="66">
        <v>0</v>
      </c>
      <c r="BY7" s="66">
        <v>0</v>
      </c>
      <c r="BZ7" s="66">
        <v>0</v>
      </c>
      <c r="CA7" s="66">
        <v>0</v>
      </c>
      <c r="CB7" s="66">
        <v>0</v>
      </c>
      <c r="CC7" s="66">
        <v>1</v>
      </c>
      <c r="CD7" s="66">
        <v>0</v>
      </c>
      <c r="CE7" s="66">
        <v>0</v>
      </c>
      <c r="CF7" s="66">
        <v>0</v>
      </c>
      <c r="CG7" s="66">
        <v>0</v>
      </c>
      <c r="CH7" s="66">
        <v>0</v>
      </c>
      <c r="CI7" s="66">
        <v>0</v>
      </c>
      <c r="CJ7" s="66">
        <v>0</v>
      </c>
      <c r="CK7" s="66">
        <v>10</v>
      </c>
      <c r="CL7" s="66">
        <v>9</v>
      </c>
      <c r="CM7" s="66">
        <v>1</v>
      </c>
      <c r="CN7" s="66">
        <v>0</v>
      </c>
      <c r="CO7" s="66">
        <v>0</v>
      </c>
      <c r="CP7" s="66">
        <v>0</v>
      </c>
      <c r="CQ7" s="66">
        <v>0</v>
      </c>
      <c r="CR7" s="66">
        <v>0</v>
      </c>
      <c r="CS7" s="66">
        <v>0</v>
      </c>
      <c r="CT7" s="66">
        <v>0</v>
      </c>
      <c r="CU7" s="66">
        <v>0</v>
      </c>
      <c r="CV7" s="66">
        <v>0</v>
      </c>
      <c r="CW7" s="66">
        <v>0</v>
      </c>
      <c r="CX7" s="66">
        <v>0</v>
      </c>
      <c r="CY7" s="66">
        <v>0</v>
      </c>
      <c r="CZ7" s="66">
        <v>0</v>
      </c>
      <c r="DA7" s="66">
        <v>0</v>
      </c>
      <c r="DB7" s="66">
        <v>0</v>
      </c>
      <c r="DC7" s="66">
        <v>0</v>
      </c>
      <c r="DD7" s="66">
        <v>0</v>
      </c>
      <c r="DE7" s="66">
        <v>0</v>
      </c>
      <c r="DF7" s="66">
        <v>0</v>
      </c>
      <c r="DG7" s="66">
        <v>0</v>
      </c>
      <c r="DH7" s="66">
        <v>0</v>
      </c>
      <c r="DI7" s="66">
        <v>0</v>
      </c>
      <c r="DJ7" s="66">
        <v>0</v>
      </c>
    </row>
    <row r="8" spans="1:114">
      <c r="A8" s="1" t="s">
        <v>712</v>
      </c>
      <c r="B8" s="1" t="s">
        <v>800</v>
      </c>
      <c r="C8" s="1" t="s">
        <v>788</v>
      </c>
      <c r="D8" s="1" t="s">
        <v>685</v>
      </c>
      <c r="E8" s="1" t="s">
        <v>685</v>
      </c>
      <c r="F8" s="1" t="s">
        <v>3029</v>
      </c>
      <c r="G8" s="77">
        <f t="shared" si="0"/>
        <v>88643</v>
      </c>
      <c r="H8" s="66">
        <v>10461</v>
      </c>
      <c r="I8" s="66">
        <v>218</v>
      </c>
      <c r="J8" s="66">
        <v>0</v>
      </c>
      <c r="K8" s="66">
        <v>64128</v>
      </c>
      <c r="L8" s="66">
        <v>13019</v>
      </c>
      <c r="M8" s="66">
        <v>0</v>
      </c>
      <c r="N8" s="66">
        <v>0</v>
      </c>
      <c r="O8" s="66">
        <v>1</v>
      </c>
      <c r="P8" s="66">
        <v>0</v>
      </c>
      <c r="Q8" s="66">
        <v>10</v>
      </c>
      <c r="R8" s="66">
        <v>27</v>
      </c>
      <c r="S8" s="66">
        <v>28</v>
      </c>
      <c r="T8" s="66">
        <v>12</v>
      </c>
      <c r="U8" s="66">
        <v>0</v>
      </c>
      <c r="V8" s="66">
        <v>1</v>
      </c>
      <c r="W8" s="66">
        <v>0</v>
      </c>
      <c r="X8" s="66">
        <v>38</v>
      </c>
      <c r="Y8" s="66">
        <v>0</v>
      </c>
      <c r="Z8" s="66">
        <v>0</v>
      </c>
      <c r="AA8" s="66">
        <v>49</v>
      </c>
      <c r="AB8" s="66">
        <v>0</v>
      </c>
      <c r="AC8" s="66">
        <v>2</v>
      </c>
      <c r="AD8" s="66">
        <v>0</v>
      </c>
      <c r="AE8" s="66">
        <v>0</v>
      </c>
      <c r="AF8" s="66">
        <v>0</v>
      </c>
      <c r="AG8" s="66">
        <v>0</v>
      </c>
      <c r="AH8" s="66">
        <v>0</v>
      </c>
      <c r="AI8" s="66">
        <v>0</v>
      </c>
      <c r="AJ8" s="66">
        <v>10</v>
      </c>
      <c r="AK8" s="66">
        <v>0</v>
      </c>
      <c r="AL8" s="66">
        <v>7</v>
      </c>
      <c r="AM8" s="66">
        <v>0</v>
      </c>
      <c r="AN8" s="66">
        <v>20</v>
      </c>
      <c r="AO8" s="66">
        <v>1</v>
      </c>
      <c r="AP8" s="66">
        <v>62</v>
      </c>
      <c r="AQ8" s="66">
        <v>0</v>
      </c>
      <c r="AR8" s="66">
        <v>89</v>
      </c>
      <c r="AS8" s="66">
        <v>0</v>
      </c>
      <c r="AT8" s="66">
        <v>52</v>
      </c>
      <c r="AU8" s="66">
        <v>13</v>
      </c>
      <c r="AV8" s="66">
        <v>0</v>
      </c>
      <c r="AW8" s="66">
        <v>0</v>
      </c>
      <c r="AX8" s="66">
        <v>0</v>
      </c>
      <c r="AY8" s="66">
        <v>38</v>
      </c>
      <c r="AZ8" s="66">
        <v>22</v>
      </c>
      <c r="BA8" s="66">
        <v>0</v>
      </c>
      <c r="BB8" s="66">
        <v>10</v>
      </c>
      <c r="BC8" s="66">
        <v>22</v>
      </c>
      <c r="BD8" s="66">
        <v>0</v>
      </c>
      <c r="BE8" s="66">
        <v>0</v>
      </c>
      <c r="BF8" s="66">
        <v>2</v>
      </c>
      <c r="BG8" s="66">
        <v>12</v>
      </c>
      <c r="BH8" s="66">
        <v>0</v>
      </c>
      <c r="BI8" s="66">
        <v>0</v>
      </c>
      <c r="BJ8" s="66">
        <v>8</v>
      </c>
      <c r="BK8" s="66">
        <v>58</v>
      </c>
      <c r="BL8" s="66">
        <v>25</v>
      </c>
      <c r="BM8" s="66">
        <v>9</v>
      </c>
      <c r="BN8" s="66">
        <v>10</v>
      </c>
      <c r="BO8" s="66">
        <v>0</v>
      </c>
      <c r="BP8" s="66">
        <v>15</v>
      </c>
      <c r="BQ8" s="66">
        <v>1</v>
      </c>
      <c r="BR8" s="66">
        <v>33</v>
      </c>
      <c r="BS8" s="66">
        <v>0</v>
      </c>
      <c r="BT8" s="66">
        <v>0</v>
      </c>
      <c r="BU8" s="66">
        <v>0</v>
      </c>
      <c r="BV8" s="66">
        <v>6</v>
      </c>
      <c r="BW8" s="66">
        <v>4</v>
      </c>
      <c r="BX8" s="66">
        <v>0</v>
      </c>
      <c r="BY8" s="66">
        <v>10</v>
      </c>
      <c r="BZ8" s="66">
        <v>9</v>
      </c>
      <c r="CA8" s="66">
        <v>0</v>
      </c>
      <c r="CB8" s="66">
        <v>15</v>
      </c>
      <c r="CC8" s="66">
        <v>14</v>
      </c>
      <c r="CD8" s="66">
        <v>2</v>
      </c>
      <c r="CE8" s="66">
        <v>0</v>
      </c>
      <c r="CF8" s="66">
        <v>2</v>
      </c>
      <c r="CG8" s="66">
        <v>13</v>
      </c>
      <c r="CH8" s="66">
        <v>13</v>
      </c>
      <c r="CI8" s="66">
        <v>0</v>
      </c>
      <c r="CJ8" s="66">
        <v>18</v>
      </c>
      <c r="CK8" s="66">
        <v>0</v>
      </c>
      <c r="CL8" s="66">
        <v>3</v>
      </c>
      <c r="CM8" s="66">
        <v>1</v>
      </c>
      <c r="CN8" s="66">
        <v>1</v>
      </c>
      <c r="CO8" s="66">
        <v>4</v>
      </c>
      <c r="CP8" s="66">
        <v>0</v>
      </c>
      <c r="CQ8" s="66">
        <v>1</v>
      </c>
      <c r="CR8" s="66">
        <v>5</v>
      </c>
      <c r="CS8" s="66">
        <v>0</v>
      </c>
      <c r="CT8" s="66">
        <v>0</v>
      </c>
      <c r="CU8" s="66">
        <v>0</v>
      </c>
      <c r="CV8" s="66">
        <v>0</v>
      </c>
      <c r="CW8" s="66">
        <v>0</v>
      </c>
      <c r="CX8" s="66">
        <v>0</v>
      </c>
      <c r="CY8" s="66">
        <v>0</v>
      </c>
      <c r="CZ8" s="66">
        <v>1</v>
      </c>
      <c r="DA8" s="66">
        <v>2</v>
      </c>
      <c r="DB8" s="66">
        <v>0</v>
      </c>
      <c r="DC8" s="66">
        <v>2</v>
      </c>
      <c r="DD8" s="66">
        <v>2</v>
      </c>
      <c r="DE8" s="66">
        <v>2</v>
      </c>
      <c r="DF8" s="66">
        <v>0</v>
      </c>
      <c r="DG8" s="66">
        <v>0</v>
      </c>
      <c r="DH8" s="66">
        <v>0</v>
      </c>
      <c r="DI8" s="66">
        <v>0</v>
      </c>
      <c r="DJ8" s="66">
        <v>0</v>
      </c>
    </row>
    <row r="9" spans="1:114">
      <c r="A9" s="1" t="s">
        <v>711</v>
      </c>
      <c r="B9" s="1" t="s">
        <v>799</v>
      </c>
      <c r="C9" s="1" t="s">
        <v>788</v>
      </c>
      <c r="D9" s="1" t="s">
        <v>685</v>
      </c>
      <c r="E9" s="1" t="s">
        <v>685</v>
      </c>
      <c r="F9" s="1" t="s">
        <v>3029</v>
      </c>
      <c r="G9" s="77">
        <f t="shared" si="0"/>
        <v>77508</v>
      </c>
      <c r="H9" s="66">
        <v>66712</v>
      </c>
      <c r="I9" s="66">
        <v>105</v>
      </c>
      <c r="J9" s="66">
        <v>1</v>
      </c>
      <c r="K9" s="66">
        <v>5</v>
      </c>
      <c r="L9" s="66">
        <v>9649</v>
      </c>
      <c r="M9" s="66">
        <v>1</v>
      </c>
      <c r="N9" s="66">
        <v>0</v>
      </c>
      <c r="O9" s="66">
        <v>1</v>
      </c>
      <c r="P9" s="66">
        <v>0</v>
      </c>
      <c r="Q9" s="66">
        <v>15</v>
      </c>
      <c r="R9" s="66">
        <v>10</v>
      </c>
      <c r="S9" s="66">
        <v>11</v>
      </c>
      <c r="T9" s="66">
        <v>28</v>
      </c>
      <c r="U9" s="66">
        <v>0</v>
      </c>
      <c r="V9" s="66">
        <v>10</v>
      </c>
      <c r="W9" s="66">
        <v>0</v>
      </c>
      <c r="X9" s="66">
        <v>135</v>
      </c>
      <c r="Y9" s="66">
        <v>0</v>
      </c>
      <c r="Z9" s="66">
        <v>7</v>
      </c>
      <c r="AA9" s="66">
        <v>0</v>
      </c>
      <c r="AB9" s="66">
        <v>0</v>
      </c>
      <c r="AC9" s="66">
        <v>0</v>
      </c>
      <c r="AD9" s="66">
        <v>0</v>
      </c>
      <c r="AE9" s="66">
        <v>0</v>
      </c>
      <c r="AF9" s="66">
        <v>0</v>
      </c>
      <c r="AG9" s="66">
        <v>0</v>
      </c>
      <c r="AH9" s="66">
        <v>0</v>
      </c>
      <c r="AI9" s="66">
        <v>0</v>
      </c>
      <c r="AJ9" s="66">
        <v>9</v>
      </c>
      <c r="AK9" s="66">
        <v>6</v>
      </c>
      <c r="AL9" s="66">
        <v>69</v>
      </c>
      <c r="AM9" s="66">
        <v>0</v>
      </c>
      <c r="AN9" s="66">
        <v>85</v>
      </c>
      <c r="AO9" s="66">
        <v>0</v>
      </c>
      <c r="AP9" s="66">
        <v>0</v>
      </c>
      <c r="AQ9" s="66">
        <v>0</v>
      </c>
      <c r="AR9" s="66">
        <v>33</v>
      </c>
      <c r="AS9" s="66">
        <v>6</v>
      </c>
      <c r="AT9" s="66">
        <v>0</v>
      </c>
      <c r="AU9" s="66">
        <v>44</v>
      </c>
      <c r="AV9" s="66">
        <v>0</v>
      </c>
      <c r="AW9" s="66">
        <v>0</v>
      </c>
      <c r="AX9" s="66">
        <v>11</v>
      </c>
      <c r="AY9" s="66">
        <v>8</v>
      </c>
      <c r="AZ9" s="66">
        <v>14</v>
      </c>
      <c r="BA9" s="66">
        <v>0</v>
      </c>
      <c r="BB9" s="66">
        <v>112</v>
      </c>
      <c r="BC9" s="66">
        <v>92</v>
      </c>
      <c r="BD9" s="66">
        <v>0</v>
      </c>
      <c r="BE9" s="66">
        <v>0</v>
      </c>
      <c r="BF9" s="66">
        <v>9</v>
      </c>
      <c r="BG9" s="66">
        <v>29</v>
      </c>
      <c r="BH9" s="66">
        <v>0</v>
      </c>
      <c r="BI9" s="66">
        <v>0</v>
      </c>
      <c r="BJ9" s="66">
        <v>41</v>
      </c>
      <c r="BK9" s="66">
        <v>0</v>
      </c>
      <c r="BL9" s="66">
        <v>46</v>
      </c>
      <c r="BM9" s="66">
        <v>0</v>
      </c>
      <c r="BN9" s="66">
        <v>35</v>
      </c>
      <c r="BO9" s="66">
        <v>0</v>
      </c>
      <c r="BP9" s="66">
        <v>13</v>
      </c>
      <c r="BQ9" s="66">
        <v>7</v>
      </c>
      <c r="BR9" s="66">
        <v>0</v>
      </c>
      <c r="BS9" s="66">
        <v>0</v>
      </c>
      <c r="BT9" s="66">
        <v>5</v>
      </c>
      <c r="BU9" s="66">
        <v>0</v>
      </c>
      <c r="BV9" s="66">
        <v>45</v>
      </c>
      <c r="BW9" s="66">
        <v>48</v>
      </c>
      <c r="BX9" s="66">
        <v>0</v>
      </c>
      <c r="BY9" s="66">
        <v>24</v>
      </c>
      <c r="BZ9" s="66">
        <v>2</v>
      </c>
      <c r="CA9" s="66">
        <v>0</v>
      </c>
      <c r="CB9" s="66">
        <v>6</v>
      </c>
      <c r="CC9" s="66">
        <v>0</v>
      </c>
      <c r="CD9" s="66">
        <v>0</v>
      </c>
      <c r="CE9" s="66">
        <v>0</v>
      </c>
      <c r="CF9" s="66">
        <v>5</v>
      </c>
      <c r="CG9" s="66">
        <v>5</v>
      </c>
      <c r="CH9" s="66">
        <v>0</v>
      </c>
      <c r="CI9" s="66">
        <v>0</v>
      </c>
      <c r="CJ9" s="66">
        <v>0</v>
      </c>
      <c r="CK9" s="66">
        <v>0</v>
      </c>
      <c r="CL9" s="66">
        <v>0</v>
      </c>
      <c r="CM9" s="66">
        <v>1</v>
      </c>
      <c r="CN9" s="66">
        <v>2</v>
      </c>
      <c r="CO9" s="66">
        <v>0</v>
      </c>
      <c r="CP9" s="66">
        <v>0</v>
      </c>
      <c r="CQ9" s="66">
        <v>2</v>
      </c>
      <c r="CR9" s="66">
        <v>0</v>
      </c>
      <c r="CS9" s="66">
        <v>0</v>
      </c>
      <c r="CT9" s="66">
        <v>0</v>
      </c>
      <c r="CU9" s="66">
        <v>0</v>
      </c>
      <c r="CV9" s="66">
        <v>0</v>
      </c>
      <c r="CW9" s="66">
        <v>0</v>
      </c>
      <c r="CX9" s="66">
        <v>0</v>
      </c>
      <c r="CY9" s="66">
        <v>0</v>
      </c>
      <c r="CZ9" s="66">
        <v>0</v>
      </c>
      <c r="DA9" s="66">
        <v>0</v>
      </c>
      <c r="DB9" s="66">
        <v>2</v>
      </c>
      <c r="DC9" s="66">
        <v>0</v>
      </c>
      <c r="DD9" s="66">
        <v>0</v>
      </c>
      <c r="DE9" s="66">
        <v>0</v>
      </c>
      <c r="DF9" s="66">
        <v>0</v>
      </c>
      <c r="DG9" s="66">
        <v>0</v>
      </c>
      <c r="DH9" s="66">
        <v>0</v>
      </c>
      <c r="DI9" s="66">
        <v>1</v>
      </c>
      <c r="DJ9" s="66">
        <v>1</v>
      </c>
    </row>
    <row r="10" spans="1:114">
      <c r="A10" s="1" t="s">
        <v>710</v>
      </c>
      <c r="B10" s="1" t="s">
        <v>798</v>
      </c>
      <c r="C10" s="1" t="s">
        <v>788</v>
      </c>
      <c r="D10" s="1" t="s">
        <v>685</v>
      </c>
      <c r="E10" s="1" t="s">
        <v>685</v>
      </c>
      <c r="F10" s="1" t="s">
        <v>3029</v>
      </c>
      <c r="G10" s="77">
        <f t="shared" si="0"/>
        <v>82566</v>
      </c>
      <c r="H10" s="66">
        <v>71184</v>
      </c>
      <c r="I10" s="66">
        <v>3530</v>
      </c>
      <c r="J10" s="66">
        <v>682</v>
      </c>
      <c r="K10" s="66">
        <v>698</v>
      </c>
      <c r="L10" s="66">
        <v>5200</v>
      </c>
      <c r="M10" s="66">
        <v>180</v>
      </c>
      <c r="N10" s="66">
        <v>0</v>
      </c>
      <c r="O10" s="66">
        <v>19</v>
      </c>
      <c r="P10" s="66">
        <v>7</v>
      </c>
      <c r="Q10" s="66">
        <v>86</v>
      </c>
      <c r="R10" s="66">
        <v>28</v>
      </c>
      <c r="S10" s="66">
        <v>58</v>
      </c>
      <c r="T10" s="66">
        <v>33</v>
      </c>
      <c r="U10" s="66">
        <v>5</v>
      </c>
      <c r="V10" s="66">
        <v>23</v>
      </c>
      <c r="W10" s="66">
        <v>8</v>
      </c>
      <c r="X10" s="66">
        <v>111</v>
      </c>
      <c r="Y10" s="66">
        <v>7</v>
      </c>
      <c r="Z10" s="66">
        <v>66</v>
      </c>
      <c r="AA10" s="66">
        <v>6</v>
      </c>
      <c r="AB10" s="66">
        <v>1</v>
      </c>
      <c r="AC10" s="66">
        <v>8</v>
      </c>
      <c r="AD10" s="66">
        <v>1</v>
      </c>
      <c r="AE10" s="66">
        <v>31</v>
      </c>
      <c r="AF10" s="66">
        <v>7</v>
      </c>
      <c r="AG10" s="66">
        <v>2</v>
      </c>
      <c r="AH10" s="66">
        <v>0</v>
      </c>
      <c r="AI10" s="66">
        <v>3</v>
      </c>
      <c r="AJ10" s="66">
        <v>0</v>
      </c>
      <c r="AK10" s="66">
        <v>42</v>
      </c>
      <c r="AL10" s="66">
        <v>68</v>
      </c>
      <c r="AM10" s="66">
        <v>0</v>
      </c>
      <c r="AN10" s="66">
        <v>58</v>
      </c>
      <c r="AO10" s="66">
        <v>11</v>
      </c>
      <c r="AP10" s="66">
        <v>8</v>
      </c>
      <c r="AQ10" s="66">
        <v>0</v>
      </c>
      <c r="AR10" s="66">
        <v>2</v>
      </c>
      <c r="AS10" s="66">
        <v>1</v>
      </c>
      <c r="AT10" s="66">
        <v>0</v>
      </c>
      <c r="AU10" s="66">
        <v>25</v>
      </c>
      <c r="AV10" s="66">
        <v>2</v>
      </c>
      <c r="AW10" s="66">
        <v>1</v>
      </c>
      <c r="AX10" s="66">
        <v>14</v>
      </c>
      <c r="AY10" s="66">
        <v>4</v>
      </c>
      <c r="AZ10" s="66">
        <v>1</v>
      </c>
      <c r="BA10" s="66">
        <v>0</v>
      </c>
      <c r="BB10" s="66">
        <v>0</v>
      </c>
      <c r="BC10" s="66">
        <v>2</v>
      </c>
      <c r="BD10" s="66">
        <v>63</v>
      </c>
      <c r="BE10" s="66">
        <v>1</v>
      </c>
      <c r="BF10" s="66">
        <v>10</v>
      </c>
      <c r="BG10" s="66">
        <v>23</v>
      </c>
      <c r="BH10" s="66">
        <v>0</v>
      </c>
      <c r="BI10" s="66">
        <v>0</v>
      </c>
      <c r="BJ10" s="66">
        <v>41</v>
      </c>
      <c r="BK10" s="66">
        <v>0</v>
      </c>
      <c r="BL10" s="66">
        <v>28</v>
      </c>
      <c r="BM10" s="66">
        <v>2</v>
      </c>
      <c r="BN10" s="66">
        <v>29</v>
      </c>
      <c r="BO10" s="66">
        <v>0</v>
      </c>
      <c r="BP10" s="66">
        <v>35</v>
      </c>
      <c r="BQ10" s="66">
        <v>4</v>
      </c>
      <c r="BR10" s="66">
        <v>0</v>
      </c>
      <c r="BS10" s="66">
        <v>0</v>
      </c>
      <c r="BT10" s="66">
        <v>30</v>
      </c>
      <c r="BU10" s="66">
        <v>0</v>
      </c>
      <c r="BV10" s="66">
        <v>1</v>
      </c>
      <c r="BW10" s="66">
        <v>0</v>
      </c>
      <c r="BX10" s="66">
        <v>0</v>
      </c>
      <c r="BY10" s="66">
        <v>12</v>
      </c>
      <c r="BZ10" s="66">
        <v>9</v>
      </c>
      <c r="CA10" s="66">
        <v>3</v>
      </c>
      <c r="CB10" s="66">
        <v>13</v>
      </c>
      <c r="CC10" s="66">
        <v>0</v>
      </c>
      <c r="CD10" s="66">
        <v>0</v>
      </c>
      <c r="CE10" s="66">
        <v>3</v>
      </c>
      <c r="CF10" s="66">
        <v>7</v>
      </c>
      <c r="CG10" s="66">
        <v>2</v>
      </c>
      <c r="CH10" s="66">
        <v>0</v>
      </c>
      <c r="CI10" s="66">
        <v>1</v>
      </c>
      <c r="CJ10" s="66">
        <v>0</v>
      </c>
      <c r="CK10" s="66">
        <v>3</v>
      </c>
      <c r="CL10" s="66">
        <v>1</v>
      </c>
      <c r="CM10" s="66">
        <v>2</v>
      </c>
      <c r="CN10" s="66">
        <v>6</v>
      </c>
      <c r="CO10" s="66">
        <v>0</v>
      </c>
      <c r="CP10" s="66">
        <v>2</v>
      </c>
      <c r="CQ10" s="66">
        <v>2</v>
      </c>
      <c r="CR10" s="66">
        <v>0</v>
      </c>
      <c r="CS10" s="66">
        <v>5</v>
      </c>
      <c r="CT10" s="66">
        <v>0</v>
      </c>
      <c r="CU10" s="66">
        <v>0</v>
      </c>
      <c r="CV10" s="66">
        <v>0</v>
      </c>
      <c r="CW10" s="66">
        <v>0</v>
      </c>
      <c r="CX10" s="66">
        <v>0</v>
      </c>
      <c r="CY10" s="66">
        <v>3</v>
      </c>
      <c r="CZ10" s="66">
        <v>0</v>
      </c>
      <c r="DA10" s="66">
        <v>0</v>
      </c>
      <c r="DB10" s="66">
        <v>0</v>
      </c>
      <c r="DC10" s="66">
        <v>0</v>
      </c>
      <c r="DD10" s="66">
        <v>0</v>
      </c>
      <c r="DE10" s="66">
        <v>0</v>
      </c>
      <c r="DF10" s="66">
        <v>2</v>
      </c>
      <c r="DG10" s="66">
        <v>0</v>
      </c>
      <c r="DH10" s="66">
        <v>0</v>
      </c>
      <c r="DI10" s="66">
        <v>0</v>
      </c>
      <c r="DJ10" s="66">
        <v>0</v>
      </c>
    </row>
    <row r="11" spans="1:114">
      <c r="A11" s="1" t="s">
        <v>709</v>
      </c>
      <c r="B11" s="1" t="s">
        <v>797</v>
      </c>
      <c r="C11" s="1" t="s">
        <v>788</v>
      </c>
      <c r="D11" s="1" t="s">
        <v>685</v>
      </c>
      <c r="E11" s="1" t="s">
        <v>685</v>
      </c>
      <c r="F11" s="1" t="s">
        <v>3029</v>
      </c>
      <c r="G11" s="77">
        <f t="shared" si="0"/>
        <v>80804</v>
      </c>
      <c r="H11" s="66">
        <v>21</v>
      </c>
      <c r="I11" s="66">
        <v>56365</v>
      </c>
      <c r="J11" s="66">
        <v>6</v>
      </c>
      <c r="K11" s="66">
        <v>125</v>
      </c>
      <c r="L11" s="66">
        <v>18</v>
      </c>
      <c r="M11" s="66">
        <v>18515</v>
      </c>
      <c r="N11" s="66">
        <v>0</v>
      </c>
      <c r="O11" s="66">
        <v>1871</v>
      </c>
      <c r="P11" s="66">
        <v>28</v>
      </c>
      <c r="Q11" s="66">
        <v>447</v>
      </c>
      <c r="R11" s="66">
        <v>47</v>
      </c>
      <c r="S11" s="66">
        <v>386</v>
      </c>
      <c r="T11" s="66">
        <v>475</v>
      </c>
      <c r="U11" s="66">
        <v>0</v>
      </c>
      <c r="V11" s="66">
        <v>455</v>
      </c>
      <c r="W11" s="66">
        <v>0</v>
      </c>
      <c r="X11" s="66">
        <v>5</v>
      </c>
      <c r="Y11" s="66">
        <v>1</v>
      </c>
      <c r="Z11" s="66">
        <v>154</v>
      </c>
      <c r="AA11" s="66">
        <v>86</v>
      </c>
      <c r="AB11" s="66">
        <v>0</v>
      </c>
      <c r="AC11" s="66">
        <v>306</v>
      </c>
      <c r="AD11" s="66">
        <v>0</v>
      </c>
      <c r="AE11" s="66">
        <v>286</v>
      </c>
      <c r="AF11" s="66">
        <v>222</v>
      </c>
      <c r="AG11" s="66">
        <v>0</v>
      </c>
      <c r="AH11" s="66">
        <v>0</v>
      </c>
      <c r="AI11" s="66">
        <v>0</v>
      </c>
      <c r="AJ11" s="66">
        <v>36</v>
      </c>
      <c r="AK11" s="66">
        <v>26</v>
      </c>
      <c r="AL11" s="66">
        <v>7</v>
      </c>
      <c r="AM11" s="66">
        <v>236</v>
      </c>
      <c r="AN11" s="66">
        <v>0</v>
      </c>
      <c r="AO11" s="66">
        <v>134</v>
      </c>
      <c r="AP11" s="66">
        <v>0</v>
      </c>
      <c r="AQ11" s="66">
        <v>0</v>
      </c>
      <c r="AR11" s="66">
        <v>0</v>
      </c>
      <c r="AS11" s="66">
        <v>150</v>
      </c>
      <c r="AT11" s="66">
        <v>0</v>
      </c>
      <c r="AU11" s="66">
        <v>0</v>
      </c>
      <c r="AV11" s="66">
        <v>0</v>
      </c>
      <c r="AW11" s="66">
        <v>5</v>
      </c>
      <c r="AX11" s="66">
        <v>99</v>
      </c>
      <c r="AY11" s="66">
        <v>48</v>
      </c>
      <c r="AZ11" s="66">
        <v>0</v>
      </c>
      <c r="BA11" s="66">
        <v>0</v>
      </c>
      <c r="BB11" s="66">
        <v>0</v>
      </c>
      <c r="BC11" s="66">
        <v>0</v>
      </c>
      <c r="BD11" s="66">
        <v>0</v>
      </c>
      <c r="BE11" s="66">
        <v>21</v>
      </c>
      <c r="BF11" s="66">
        <v>58</v>
      </c>
      <c r="BG11" s="66">
        <v>0</v>
      </c>
      <c r="BH11" s="66">
        <v>0</v>
      </c>
      <c r="BI11" s="66">
        <v>0</v>
      </c>
      <c r="BJ11" s="66">
        <v>0</v>
      </c>
      <c r="BK11" s="66">
        <v>0</v>
      </c>
      <c r="BL11" s="66">
        <v>0</v>
      </c>
      <c r="BM11" s="66">
        <v>21</v>
      </c>
      <c r="BN11" s="66">
        <v>0</v>
      </c>
      <c r="BO11" s="66">
        <v>0</v>
      </c>
      <c r="BP11" s="66">
        <v>12</v>
      </c>
      <c r="BQ11" s="66">
        <v>4</v>
      </c>
      <c r="BR11" s="66">
        <v>0</v>
      </c>
      <c r="BS11" s="66">
        <v>0</v>
      </c>
      <c r="BT11" s="66">
        <v>0</v>
      </c>
      <c r="BU11" s="66">
        <v>56</v>
      </c>
      <c r="BV11" s="66">
        <v>0</v>
      </c>
      <c r="BW11" s="66">
        <v>0</v>
      </c>
      <c r="BX11" s="66">
        <v>0</v>
      </c>
      <c r="BY11" s="66">
        <v>0</v>
      </c>
      <c r="BZ11" s="66">
        <v>0</v>
      </c>
      <c r="CA11" s="66">
        <v>39</v>
      </c>
      <c r="CB11" s="66">
        <v>0</v>
      </c>
      <c r="CC11" s="66">
        <v>0</v>
      </c>
      <c r="CD11" s="66">
        <v>0</v>
      </c>
      <c r="CE11" s="66">
        <v>0</v>
      </c>
      <c r="CF11" s="66">
        <v>0</v>
      </c>
      <c r="CG11" s="66">
        <v>0</v>
      </c>
      <c r="CH11" s="66">
        <v>0</v>
      </c>
      <c r="CI11" s="66">
        <v>0</v>
      </c>
      <c r="CJ11" s="66">
        <v>0</v>
      </c>
      <c r="CK11" s="66">
        <v>5</v>
      </c>
      <c r="CL11" s="66">
        <v>3</v>
      </c>
      <c r="CM11" s="66">
        <v>6</v>
      </c>
      <c r="CN11" s="66">
        <v>0</v>
      </c>
      <c r="CO11" s="66">
        <v>5</v>
      </c>
      <c r="CP11" s="66">
        <v>4</v>
      </c>
      <c r="CQ11" s="66">
        <v>0</v>
      </c>
      <c r="CR11" s="66">
        <v>0</v>
      </c>
      <c r="CS11" s="66">
        <v>0</v>
      </c>
      <c r="CT11" s="66">
        <v>4</v>
      </c>
      <c r="CU11" s="66">
        <v>0</v>
      </c>
      <c r="CV11" s="66">
        <v>3</v>
      </c>
      <c r="CW11" s="66">
        <v>3</v>
      </c>
      <c r="CX11" s="66">
        <v>0</v>
      </c>
      <c r="CY11" s="66">
        <v>0</v>
      </c>
      <c r="CZ11" s="66">
        <v>0</v>
      </c>
      <c r="DA11" s="66">
        <v>0</v>
      </c>
      <c r="DB11" s="66">
        <v>0</v>
      </c>
      <c r="DC11" s="66">
        <v>0</v>
      </c>
      <c r="DD11" s="66">
        <v>0</v>
      </c>
      <c r="DE11" s="66">
        <v>0</v>
      </c>
      <c r="DF11" s="66">
        <v>0</v>
      </c>
      <c r="DG11" s="66">
        <v>0</v>
      </c>
      <c r="DH11" s="66">
        <v>0</v>
      </c>
      <c r="DI11" s="66">
        <v>0</v>
      </c>
      <c r="DJ11" s="66">
        <v>0</v>
      </c>
    </row>
    <row r="12" spans="1:114">
      <c r="A12" s="1" t="s">
        <v>708</v>
      </c>
      <c r="B12" s="1" t="s">
        <v>796</v>
      </c>
      <c r="C12" s="1" t="s">
        <v>788</v>
      </c>
      <c r="D12" s="1" t="s">
        <v>685</v>
      </c>
      <c r="E12" s="1" t="s">
        <v>685</v>
      </c>
      <c r="F12" s="1" t="s">
        <v>3029</v>
      </c>
      <c r="G12" s="77">
        <f t="shared" si="0"/>
        <v>100330</v>
      </c>
      <c r="H12" s="66">
        <v>167</v>
      </c>
      <c r="I12" s="66">
        <v>526</v>
      </c>
      <c r="J12" s="66">
        <v>93945</v>
      </c>
      <c r="K12" s="66">
        <v>73</v>
      </c>
      <c r="L12" s="66">
        <v>47</v>
      </c>
      <c r="M12" s="66">
        <v>743</v>
      </c>
      <c r="N12" s="66">
        <v>0</v>
      </c>
      <c r="O12" s="66">
        <v>2</v>
      </c>
      <c r="P12" s="66">
        <v>0</v>
      </c>
      <c r="Q12" s="66">
        <v>6</v>
      </c>
      <c r="R12" s="66">
        <v>575</v>
      </c>
      <c r="S12" s="66">
        <v>0</v>
      </c>
      <c r="T12" s="66">
        <v>0</v>
      </c>
      <c r="U12" s="66">
        <v>622</v>
      </c>
      <c r="V12" s="66">
        <v>0</v>
      </c>
      <c r="W12" s="66">
        <v>530</v>
      </c>
      <c r="X12" s="66">
        <v>4</v>
      </c>
      <c r="Y12" s="66">
        <v>484</v>
      </c>
      <c r="Z12" s="66">
        <v>1</v>
      </c>
      <c r="AA12" s="66">
        <v>0</v>
      </c>
      <c r="AB12" s="66">
        <v>372</v>
      </c>
      <c r="AC12" s="66">
        <v>0</v>
      </c>
      <c r="AD12" s="66">
        <v>320</v>
      </c>
      <c r="AE12" s="66">
        <v>0</v>
      </c>
      <c r="AF12" s="66">
        <v>0</v>
      </c>
      <c r="AG12" s="66">
        <v>307</v>
      </c>
      <c r="AH12" s="66">
        <v>308</v>
      </c>
      <c r="AI12" s="66">
        <v>295</v>
      </c>
      <c r="AJ12" s="66">
        <v>0</v>
      </c>
      <c r="AK12" s="66">
        <v>0</v>
      </c>
      <c r="AL12" s="66">
        <v>0</v>
      </c>
      <c r="AM12" s="66">
        <v>0</v>
      </c>
      <c r="AN12" s="66">
        <v>0</v>
      </c>
      <c r="AO12" s="66">
        <v>0</v>
      </c>
      <c r="AP12" s="66">
        <v>0</v>
      </c>
      <c r="AQ12" s="66">
        <v>171</v>
      </c>
      <c r="AR12" s="66">
        <v>0</v>
      </c>
      <c r="AS12" s="66">
        <v>0</v>
      </c>
      <c r="AT12" s="66">
        <v>0</v>
      </c>
      <c r="AU12" s="66">
        <v>0</v>
      </c>
      <c r="AV12" s="66">
        <v>146</v>
      </c>
      <c r="AW12" s="66">
        <v>0</v>
      </c>
      <c r="AX12" s="66">
        <v>0</v>
      </c>
      <c r="AY12" s="66">
        <v>0</v>
      </c>
      <c r="AZ12" s="66">
        <v>0</v>
      </c>
      <c r="BA12" s="66">
        <v>125</v>
      </c>
      <c r="BB12" s="66">
        <v>0</v>
      </c>
      <c r="BC12" s="66">
        <v>0</v>
      </c>
      <c r="BD12" s="66">
        <v>0</v>
      </c>
      <c r="BE12" s="66">
        <v>0</v>
      </c>
      <c r="BF12" s="66">
        <v>0</v>
      </c>
      <c r="BG12" s="66">
        <v>0</v>
      </c>
      <c r="BH12" s="66">
        <v>111</v>
      </c>
      <c r="BI12" s="66">
        <v>106</v>
      </c>
      <c r="BJ12" s="66">
        <v>4</v>
      </c>
      <c r="BK12" s="66">
        <v>0</v>
      </c>
      <c r="BL12" s="66">
        <v>0</v>
      </c>
      <c r="BM12" s="66">
        <v>67</v>
      </c>
      <c r="BN12" s="66">
        <v>0</v>
      </c>
      <c r="BO12" s="66">
        <v>90</v>
      </c>
      <c r="BP12" s="66">
        <v>0</v>
      </c>
      <c r="BQ12" s="66">
        <v>50</v>
      </c>
      <c r="BR12" s="66">
        <v>0</v>
      </c>
      <c r="BS12" s="66">
        <v>57</v>
      </c>
      <c r="BT12" s="66">
        <v>0</v>
      </c>
      <c r="BU12" s="66">
        <v>0</v>
      </c>
      <c r="BV12" s="66">
        <v>0</v>
      </c>
      <c r="BW12" s="66">
        <v>0</v>
      </c>
      <c r="BX12" s="66">
        <v>52</v>
      </c>
      <c r="BY12" s="66">
        <v>0</v>
      </c>
      <c r="BZ12" s="66">
        <v>0</v>
      </c>
      <c r="CA12" s="66">
        <v>0</v>
      </c>
      <c r="CB12" s="66">
        <v>0</v>
      </c>
      <c r="CC12" s="66">
        <v>0</v>
      </c>
      <c r="CD12" s="66">
        <v>0</v>
      </c>
      <c r="CE12" s="66">
        <v>23</v>
      </c>
      <c r="CF12" s="66">
        <v>0</v>
      </c>
      <c r="CG12" s="66">
        <v>0</v>
      </c>
      <c r="CH12" s="66">
        <v>0</v>
      </c>
      <c r="CI12" s="66">
        <v>1</v>
      </c>
      <c r="CJ12" s="66">
        <v>0</v>
      </c>
      <c r="CK12" s="66">
        <v>0</v>
      </c>
      <c r="CL12" s="66">
        <v>0</v>
      </c>
      <c r="CM12" s="66">
        <v>0</v>
      </c>
      <c r="CN12" s="66">
        <v>0</v>
      </c>
      <c r="CO12" s="66">
        <v>0</v>
      </c>
      <c r="CP12" s="66">
        <v>0</v>
      </c>
      <c r="CQ12" s="66">
        <v>0</v>
      </c>
      <c r="CR12" s="66">
        <v>0</v>
      </c>
      <c r="CS12" s="66">
        <v>0</v>
      </c>
      <c r="CT12" s="66">
        <v>0</v>
      </c>
      <c r="CU12" s="66">
        <v>0</v>
      </c>
      <c r="CV12" s="66">
        <v>0</v>
      </c>
      <c r="CW12" s="66">
        <v>0</v>
      </c>
      <c r="CX12" s="66">
        <v>0</v>
      </c>
      <c r="CY12" s="66">
        <v>0</v>
      </c>
      <c r="CZ12" s="66">
        <v>0</v>
      </c>
      <c r="DA12" s="66">
        <v>0</v>
      </c>
      <c r="DB12" s="66">
        <v>0</v>
      </c>
      <c r="DC12" s="66">
        <v>0</v>
      </c>
      <c r="DD12" s="66">
        <v>0</v>
      </c>
      <c r="DE12" s="66">
        <v>0</v>
      </c>
      <c r="DF12" s="66">
        <v>0</v>
      </c>
      <c r="DG12" s="66">
        <v>0</v>
      </c>
      <c r="DH12" s="66">
        <v>0</v>
      </c>
      <c r="DI12" s="66">
        <v>0</v>
      </c>
      <c r="DJ12" s="66">
        <v>0</v>
      </c>
    </row>
    <row r="13" spans="1:114">
      <c r="A13" s="1" t="s">
        <v>707</v>
      </c>
      <c r="B13" s="1" t="s">
        <v>795</v>
      </c>
      <c r="C13" s="1" t="s">
        <v>785</v>
      </c>
      <c r="D13" s="1" t="s">
        <v>685</v>
      </c>
      <c r="E13" s="1" t="s">
        <v>685</v>
      </c>
      <c r="F13" s="1" t="s">
        <v>3029</v>
      </c>
      <c r="G13" s="77">
        <f t="shared" si="0"/>
        <v>272</v>
      </c>
      <c r="H13" s="66">
        <v>112</v>
      </c>
      <c r="I13" s="66">
        <v>55</v>
      </c>
      <c r="J13" s="66">
        <v>58</v>
      </c>
      <c r="K13" s="66">
        <v>2</v>
      </c>
      <c r="L13" s="66">
        <v>8</v>
      </c>
      <c r="M13" s="66">
        <v>25</v>
      </c>
      <c r="N13" s="66">
        <v>0</v>
      </c>
      <c r="O13" s="66">
        <v>2</v>
      </c>
      <c r="P13" s="66">
        <v>0</v>
      </c>
      <c r="Q13" s="66">
        <v>1</v>
      </c>
      <c r="R13" s="66">
        <v>0</v>
      </c>
      <c r="S13" s="66">
        <v>1</v>
      </c>
      <c r="T13" s="66">
        <v>0</v>
      </c>
      <c r="U13" s="66">
        <v>2</v>
      </c>
      <c r="V13" s="66">
        <v>1</v>
      </c>
      <c r="W13" s="66">
        <v>0</v>
      </c>
      <c r="X13" s="66">
        <v>1</v>
      </c>
      <c r="Y13" s="66">
        <v>0</v>
      </c>
      <c r="Z13" s="66">
        <v>0</v>
      </c>
      <c r="AA13" s="66">
        <v>0</v>
      </c>
      <c r="AB13" s="66">
        <v>0</v>
      </c>
      <c r="AC13" s="66">
        <v>0</v>
      </c>
      <c r="AD13" s="66">
        <v>0</v>
      </c>
      <c r="AE13" s="66">
        <v>1</v>
      </c>
      <c r="AF13" s="66">
        <v>0</v>
      </c>
      <c r="AG13" s="66">
        <v>0</v>
      </c>
      <c r="AH13" s="66">
        <v>0</v>
      </c>
      <c r="AI13" s="66">
        <v>0</v>
      </c>
      <c r="AJ13" s="66">
        <v>0</v>
      </c>
      <c r="AK13" s="66">
        <v>0</v>
      </c>
      <c r="AL13" s="66">
        <v>0</v>
      </c>
      <c r="AM13" s="66">
        <v>0</v>
      </c>
      <c r="AN13" s="66">
        <v>0</v>
      </c>
      <c r="AO13" s="66">
        <v>0</v>
      </c>
      <c r="AP13" s="66">
        <v>0</v>
      </c>
      <c r="AQ13" s="66">
        <v>0</v>
      </c>
      <c r="AR13" s="66">
        <v>0</v>
      </c>
      <c r="AS13" s="66">
        <v>1</v>
      </c>
      <c r="AT13" s="66">
        <v>0</v>
      </c>
      <c r="AU13" s="66">
        <v>0</v>
      </c>
      <c r="AV13" s="66">
        <v>0</v>
      </c>
      <c r="AW13" s="66">
        <v>0</v>
      </c>
      <c r="AX13" s="66">
        <v>0</v>
      </c>
      <c r="AY13" s="66">
        <v>0</v>
      </c>
      <c r="AZ13" s="66">
        <v>0</v>
      </c>
      <c r="BA13" s="66">
        <v>1</v>
      </c>
      <c r="BB13" s="66">
        <v>0</v>
      </c>
      <c r="BC13" s="66">
        <v>0</v>
      </c>
      <c r="BD13" s="66">
        <v>0</v>
      </c>
      <c r="BE13" s="66">
        <v>0</v>
      </c>
      <c r="BF13" s="66">
        <v>0</v>
      </c>
      <c r="BG13" s="66">
        <v>0</v>
      </c>
      <c r="BH13" s="66">
        <v>0</v>
      </c>
      <c r="BI13" s="66">
        <v>1</v>
      </c>
      <c r="BJ13" s="66">
        <v>0</v>
      </c>
      <c r="BK13" s="66">
        <v>0</v>
      </c>
      <c r="BL13" s="66">
        <v>0</v>
      </c>
      <c r="BM13" s="66">
        <v>0</v>
      </c>
      <c r="BN13" s="66">
        <v>0</v>
      </c>
      <c r="BO13" s="66">
        <v>0</v>
      </c>
      <c r="BP13" s="66">
        <v>0</v>
      </c>
      <c r="BQ13" s="66">
        <v>0</v>
      </c>
      <c r="BR13" s="66">
        <v>0</v>
      </c>
      <c r="BS13" s="66">
        <v>0</v>
      </c>
      <c r="BT13" s="66">
        <v>0</v>
      </c>
      <c r="BU13" s="66">
        <v>0</v>
      </c>
      <c r="BV13" s="66">
        <v>0</v>
      </c>
      <c r="BW13" s="66">
        <v>0</v>
      </c>
      <c r="BX13" s="66">
        <v>0</v>
      </c>
      <c r="BY13" s="66">
        <v>0</v>
      </c>
      <c r="BZ13" s="66">
        <v>0</v>
      </c>
      <c r="CA13" s="66">
        <v>0</v>
      </c>
      <c r="CB13" s="66">
        <v>0</v>
      </c>
      <c r="CC13" s="66">
        <v>0</v>
      </c>
      <c r="CD13" s="66">
        <v>0</v>
      </c>
      <c r="CE13" s="66">
        <v>0</v>
      </c>
      <c r="CF13" s="66">
        <v>0</v>
      </c>
      <c r="CG13" s="66">
        <v>0</v>
      </c>
      <c r="CH13" s="66">
        <v>0</v>
      </c>
      <c r="CI13" s="66">
        <v>0</v>
      </c>
      <c r="CJ13" s="66">
        <v>0</v>
      </c>
      <c r="CK13" s="66">
        <v>0</v>
      </c>
      <c r="CL13" s="66">
        <v>0</v>
      </c>
      <c r="CM13" s="66">
        <v>0</v>
      </c>
      <c r="CN13" s="66">
        <v>0</v>
      </c>
      <c r="CO13" s="66">
        <v>0</v>
      </c>
      <c r="CP13" s="66">
        <v>0</v>
      </c>
      <c r="CQ13" s="66">
        <v>0</v>
      </c>
      <c r="CR13" s="66">
        <v>0</v>
      </c>
      <c r="CS13" s="66">
        <v>0</v>
      </c>
      <c r="CT13" s="66">
        <v>0</v>
      </c>
      <c r="CU13" s="66">
        <v>0</v>
      </c>
      <c r="CV13" s="66">
        <v>0</v>
      </c>
      <c r="CW13" s="66">
        <v>0</v>
      </c>
      <c r="CX13" s="66">
        <v>0</v>
      </c>
      <c r="CY13" s="66">
        <v>0</v>
      </c>
      <c r="CZ13" s="66">
        <v>0</v>
      </c>
      <c r="DA13" s="66">
        <v>0</v>
      </c>
      <c r="DB13" s="66">
        <v>0</v>
      </c>
      <c r="DC13" s="66">
        <v>0</v>
      </c>
      <c r="DD13" s="66">
        <v>0</v>
      </c>
      <c r="DE13" s="66">
        <v>0</v>
      </c>
      <c r="DF13" s="66">
        <v>0</v>
      </c>
      <c r="DG13" s="66">
        <v>0</v>
      </c>
      <c r="DH13" s="66">
        <v>0</v>
      </c>
      <c r="DI13" s="66">
        <v>0</v>
      </c>
      <c r="DJ13" s="66">
        <v>0</v>
      </c>
    </row>
    <row r="14" spans="1:114">
      <c r="A14" s="1" t="s">
        <v>706</v>
      </c>
      <c r="B14" s="1" t="s">
        <v>794</v>
      </c>
      <c r="C14" s="1" t="s">
        <v>788</v>
      </c>
      <c r="D14" s="1">
        <v>114.29510000000001</v>
      </c>
      <c r="E14" s="1">
        <v>22.340879999999999</v>
      </c>
      <c r="F14" s="1" t="s">
        <v>3029</v>
      </c>
      <c r="G14" s="77">
        <f t="shared" si="0"/>
        <v>1</v>
      </c>
      <c r="H14" s="66">
        <v>0</v>
      </c>
      <c r="I14" s="66">
        <v>0</v>
      </c>
      <c r="J14" s="66">
        <v>0</v>
      </c>
      <c r="K14" s="66">
        <v>0</v>
      </c>
      <c r="L14" s="66">
        <v>0</v>
      </c>
      <c r="M14" s="66">
        <v>0</v>
      </c>
      <c r="N14" s="66">
        <v>1</v>
      </c>
      <c r="O14" s="66">
        <v>0</v>
      </c>
      <c r="P14" s="66">
        <v>0</v>
      </c>
      <c r="Q14" s="66">
        <v>0</v>
      </c>
      <c r="R14" s="66">
        <v>0</v>
      </c>
      <c r="S14" s="66">
        <v>0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66">
        <v>0</v>
      </c>
      <c r="AA14" s="66">
        <v>0</v>
      </c>
      <c r="AB14" s="66">
        <v>0</v>
      </c>
      <c r="AC14" s="66">
        <v>0</v>
      </c>
      <c r="AD14" s="66">
        <v>0</v>
      </c>
      <c r="AE14" s="66">
        <v>0</v>
      </c>
      <c r="AF14" s="66">
        <v>0</v>
      </c>
      <c r="AG14" s="66">
        <v>0</v>
      </c>
      <c r="AH14" s="66">
        <v>0</v>
      </c>
      <c r="AI14" s="66">
        <v>0</v>
      </c>
      <c r="AJ14" s="66">
        <v>0</v>
      </c>
      <c r="AK14" s="66">
        <v>0</v>
      </c>
      <c r="AL14" s="66">
        <v>0</v>
      </c>
      <c r="AM14" s="66">
        <v>0</v>
      </c>
      <c r="AN14" s="66">
        <v>0</v>
      </c>
      <c r="AO14" s="66">
        <v>0</v>
      </c>
      <c r="AP14" s="66">
        <v>0</v>
      </c>
      <c r="AQ14" s="66">
        <v>0</v>
      </c>
      <c r="AR14" s="66">
        <v>0</v>
      </c>
      <c r="AS14" s="66">
        <v>0</v>
      </c>
      <c r="AT14" s="66">
        <v>0</v>
      </c>
      <c r="AU14" s="66">
        <v>0</v>
      </c>
      <c r="AV14" s="66">
        <v>0</v>
      </c>
      <c r="AW14" s="66">
        <v>0</v>
      </c>
      <c r="AX14" s="66">
        <v>0</v>
      </c>
      <c r="AY14" s="66">
        <v>0</v>
      </c>
      <c r="AZ14" s="66">
        <v>0</v>
      </c>
      <c r="BA14" s="66">
        <v>0</v>
      </c>
      <c r="BB14" s="66">
        <v>0</v>
      </c>
      <c r="BC14" s="66">
        <v>0</v>
      </c>
      <c r="BD14" s="66">
        <v>0</v>
      </c>
      <c r="BE14" s="66">
        <v>0</v>
      </c>
      <c r="BF14" s="66">
        <v>0</v>
      </c>
      <c r="BG14" s="66">
        <v>0</v>
      </c>
      <c r="BH14" s="66">
        <v>0</v>
      </c>
      <c r="BI14" s="66">
        <v>0</v>
      </c>
      <c r="BJ14" s="66">
        <v>0</v>
      </c>
      <c r="BK14" s="66">
        <v>0</v>
      </c>
      <c r="BL14" s="66">
        <v>0</v>
      </c>
      <c r="BM14" s="66">
        <v>0</v>
      </c>
      <c r="BN14" s="66">
        <v>0</v>
      </c>
      <c r="BO14" s="66">
        <v>0</v>
      </c>
      <c r="BP14" s="66">
        <v>0</v>
      </c>
      <c r="BQ14" s="66">
        <v>0</v>
      </c>
      <c r="BR14" s="66">
        <v>0</v>
      </c>
      <c r="BS14" s="66">
        <v>0</v>
      </c>
      <c r="BT14" s="66">
        <v>0</v>
      </c>
      <c r="BU14" s="66">
        <v>0</v>
      </c>
      <c r="BV14" s="66">
        <v>0</v>
      </c>
      <c r="BW14" s="66">
        <v>0</v>
      </c>
      <c r="BX14" s="66">
        <v>0</v>
      </c>
      <c r="BY14" s="66">
        <v>0</v>
      </c>
      <c r="BZ14" s="66">
        <v>0</v>
      </c>
      <c r="CA14" s="66">
        <v>0</v>
      </c>
      <c r="CB14" s="66">
        <v>0</v>
      </c>
      <c r="CC14" s="66">
        <v>0</v>
      </c>
      <c r="CD14" s="66">
        <v>0</v>
      </c>
      <c r="CE14" s="66">
        <v>0</v>
      </c>
      <c r="CF14" s="66">
        <v>0</v>
      </c>
      <c r="CG14" s="66">
        <v>0</v>
      </c>
      <c r="CH14" s="66">
        <v>0</v>
      </c>
      <c r="CI14" s="66">
        <v>0</v>
      </c>
      <c r="CJ14" s="66">
        <v>0</v>
      </c>
      <c r="CK14" s="66">
        <v>0</v>
      </c>
      <c r="CL14" s="66">
        <v>0</v>
      </c>
      <c r="CM14" s="66">
        <v>0</v>
      </c>
      <c r="CN14" s="66">
        <v>0</v>
      </c>
      <c r="CO14" s="66">
        <v>0</v>
      </c>
      <c r="CP14" s="66">
        <v>0</v>
      </c>
      <c r="CQ14" s="66">
        <v>0</v>
      </c>
      <c r="CR14" s="66">
        <v>0</v>
      </c>
      <c r="CS14" s="66">
        <v>0</v>
      </c>
      <c r="CT14" s="66">
        <v>0</v>
      </c>
      <c r="CU14" s="66">
        <v>0</v>
      </c>
      <c r="CV14" s="66">
        <v>0</v>
      </c>
      <c r="CW14" s="66">
        <v>0</v>
      </c>
      <c r="CX14" s="66">
        <v>0</v>
      </c>
      <c r="CY14" s="66">
        <v>0</v>
      </c>
      <c r="CZ14" s="66">
        <v>0</v>
      </c>
      <c r="DA14" s="66">
        <v>0</v>
      </c>
      <c r="DB14" s="66">
        <v>0</v>
      </c>
      <c r="DC14" s="66">
        <v>0</v>
      </c>
      <c r="DD14" s="66">
        <v>0</v>
      </c>
      <c r="DE14" s="66">
        <v>0</v>
      </c>
      <c r="DF14" s="66">
        <v>0</v>
      </c>
      <c r="DG14" s="66">
        <v>0</v>
      </c>
      <c r="DH14" s="66">
        <v>0</v>
      </c>
      <c r="DI14" s="66">
        <v>0</v>
      </c>
      <c r="DJ14" s="66">
        <v>0</v>
      </c>
    </row>
    <row r="15" spans="1:114">
      <c r="A15" s="1" t="s">
        <v>705</v>
      </c>
      <c r="B15" s="1" t="s">
        <v>793</v>
      </c>
      <c r="C15" s="1" t="s">
        <v>788</v>
      </c>
      <c r="D15" s="1">
        <v>114.29510000000001</v>
      </c>
      <c r="E15" s="1">
        <v>22.340879999999999</v>
      </c>
      <c r="F15" s="1" t="s">
        <v>3029</v>
      </c>
      <c r="G15" s="77">
        <f t="shared" si="0"/>
        <v>2</v>
      </c>
      <c r="H15" s="66">
        <v>0</v>
      </c>
      <c r="I15" s="66">
        <v>1</v>
      </c>
      <c r="J15" s="66">
        <v>0</v>
      </c>
      <c r="K15" s="66">
        <v>0</v>
      </c>
      <c r="L15" s="66">
        <v>0</v>
      </c>
      <c r="M15" s="66">
        <v>0</v>
      </c>
      <c r="N15" s="66">
        <v>1</v>
      </c>
      <c r="O15" s="66">
        <v>0</v>
      </c>
      <c r="P15" s="66">
        <v>0</v>
      </c>
      <c r="Q15" s="66">
        <v>0</v>
      </c>
      <c r="R15" s="66">
        <v>0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66">
        <v>0</v>
      </c>
      <c r="AA15" s="66">
        <v>0</v>
      </c>
      <c r="AB15" s="66">
        <v>0</v>
      </c>
      <c r="AC15" s="66">
        <v>0</v>
      </c>
      <c r="AD15" s="66">
        <v>0</v>
      </c>
      <c r="AE15" s="66">
        <v>0</v>
      </c>
      <c r="AF15" s="66">
        <v>0</v>
      </c>
      <c r="AG15" s="66">
        <v>0</v>
      </c>
      <c r="AH15" s="66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6">
        <v>0</v>
      </c>
      <c r="AU15" s="66">
        <v>0</v>
      </c>
      <c r="AV15" s="66">
        <v>0</v>
      </c>
      <c r="AW15" s="66">
        <v>0</v>
      </c>
      <c r="AX15" s="66">
        <v>0</v>
      </c>
      <c r="AY15" s="66">
        <v>0</v>
      </c>
      <c r="AZ15" s="66">
        <v>0</v>
      </c>
      <c r="BA15" s="66">
        <v>0</v>
      </c>
      <c r="BB15" s="66">
        <v>0</v>
      </c>
      <c r="BC15" s="66">
        <v>0</v>
      </c>
      <c r="BD15" s="66">
        <v>0</v>
      </c>
      <c r="BE15" s="66">
        <v>0</v>
      </c>
      <c r="BF15" s="66">
        <v>0</v>
      </c>
      <c r="BG15" s="66">
        <v>0</v>
      </c>
      <c r="BH15" s="66">
        <v>0</v>
      </c>
      <c r="BI15" s="66">
        <v>0</v>
      </c>
      <c r="BJ15" s="66">
        <v>0</v>
      </c>
      <c r="BK15" s="66">
        <v>0</v>
      </c>
      <c r="BL15" s="66">
        <v>0</v>
      </c>
      <c r="BM15" s="66">
        <v>0</v>
      </c>
      <c r="BN15" s="66">
        <v>0</v>
      </c>
      <c r="BO15" s="66">
        <v>0</v>
      </c>
      <c r="BP15" s="66">
        <v>0</v>
      </c>
      <c r="BQ15" s="66">
        <v>0</v>
      </c>
      <c r="BR15" s="66">
        <v>0</v>
      </c>
      <c r="BS15" s="66">
        <v>0</v>
      </c>
      <c r="BT15" s="66">
        <v>0</v>
      </c>
      <c r="BU15" s="66">
        <v>0</v>
      </c>
      <c r="BV15" s="66">
        <v>0</v>
      </c>
      <c r="BW15" s="66">
        <v>0</v>
      </c>
      <c r="BX15" s="66">
        <v>0</v>
      </c>
      <c r="BY15" s="66">
        <v>0</v>
      </c>
      <c r="BZ15" s="66">
        <v>0</v>
      </c>
      <c r="CA15" s="66">
        <v>0</v>
      </c>
      <c r="CB15" s="66">
        <v>0</v>
      </c>
      <c r="CC15" s="66">
        <v>0</v>
      </c>
      <c r="CD15" s="66">
        <v>0</v>
      </c>
      <c r="CE15" s="66">
        <v>0</v>
      </c>
      <c r="CF15" s="66">
        <v>0</v>
      </c>
      <c r="CG15" s="66">
        <v>0</v>
      </c>
      <c r="CH15" s="66">
        <v>0</v>
      </c>
      <c r="CI15" s="66">
        <v>0</v>
      </c>
      <c r="CJ15" s="66">
        <v>0</v>
      </c>
      <c r="CK15" s="66">
        <v>0</v>
      </c>
      <c r="CL15" s="66">
        <v>0</v>
      </c>
      <c r="CM15" s="66">
        <v>0</v>
      </c>
      <c r="CN15" s="66">
        <v>0</v>
      </c>
      <c r="CO15" s="66">
        <v>0</v>
      </c>
      <c r="CP15" s="66">
        <v>0</v>
      </c>
      <c r="CQ15" s="66">
        <v>0</v>
      </c>
      <c r="CR15" s="66">
        <v>0</v>
      </c>
      <c r="CS15" s="66">
        <v>0</v>
      </c>
      <c r="CT15" s="66">
        <v>0</v>
      </c>
      <c r="CU15" s="66">
        <v>0</v>
      </c>
      <c r="CV15" s="66">
        <v>0</v>
      </c>
      <c r="CW15" s="66">
        <v>0</v>
      </c>
      <c r="CX15" s="66">
        <v>0</v>
      </c>
      <c r="CY15" s="66">
        <v>0</v>
      </c>
      <c r="CZ15" s="66">
        <v>0</v>
      </c>
      <c r="DA15" s="66">
        <v>0</v>
      </c>
      <c r="DB15" s="66">
        <v>0</v>
      </c>
      <c r="DC15" s="66">
        <v>0</v>
      </c>
      <c r="DD15" s="66">
        <v>0</v>
      </c>
      <c r="DE15" s="66">
        <v>0</v>
      </c>
      <c r="DF15" s="66">
        <v>0</v>
      </c>
      <c r="DG15" s="66">
        <v>0</v>
      </c>
      <c r="DH15" s="66">
        <v>0</v>
      </c>
      <c r="DI15" s="66">
        <v>0</v>
      </c>
      <c r="DJ15" s="66">
        <v>0</v>
      </c>
    </row>
    <row r="16" spans="1:114">
      <c r="A16" s="1" t="s">
        <v>704</v>
      </c>
      <c r="B16" s="1" t="s">
        <v>792</v>
      </c>
      <c r="C16" s="1" t="s">
        <v>785</v>
      </c>
      <c r="D16" s="1" t="s">
        <v>685</v>
      </c>
      <c r="E16" s="1" t="s">
        <v>685</v>
      </c>
      <c r="F16" s="1" t="s">
        <v>3029</v>
      </c>
      <c r="G16" s="77">
        <f t="shared" si="0"/>
        <v>1</v>
      </c>
      <c r="H16" s="66">
        <v>0</v>
      </c>
      <c r="I16" s="66">
        <v>0</v>
      </c>
      <c r="J16" s="66">
        <v>0</v>
      </c>
      <c r="K16" s="66">
        <v>0</v>
      </c>
      <c r="L16" s="66">
        <v>0</v>
      </c>
      <c r="M16" s="66">
        <v>0</v>
      </c>
      <c r="N16" s="66">
        <v>1</v>
      </c>
      <c r="O16" s="66">
        <v>0</v>
      </c>
      <c r="P16" s="66">
        <v>0</v>
      </c>
      <c r="Q16" s="66">
        <v>0</v>
      </c>
      <c r="R16" s="66">
        <v>0</v>
      </c>
      <c r="S16" s="66">
        <v>0</v>
      </c>
      <c r="T16" s="66">
        <v>0</v>
      </c>
      <c r="U16" s="66">
        <v>0</v>
      </c>
      <c r="V16" s="66">
        <v>0</v>
      </c>
      <c r="W16" s="66">
        <v>0</v>
      </c>
      <c r="X16" s="66">
        <v>0</v>
      </c>
      <c r="Y16" s="66">
        <v>0</v>
      </c>
      <c r="Z16" s="66">
        <v>0</v>
      </c>
      <c r="AA16" s="66">
        <v>0</v>
      </c>
      <c r="AB16" s="66">
        <v>0</v>
      </c>
      <c r="AC16" s="66">
        <v>0</v>
      </c>
      <c r="AD16" s="66">
        <v>0</v>
      </c>
      <c r="AE16" s="66">
        <v>0</v>
      </c>
      <c r="AF16" s="66">
        <v>0</v>
      </c>
      <c r="AG16" s="66">
        <v>0</v>
      </c>
      <c r="AH16" s="66">
        <v>0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0</v>
      </c>
      <c r="AR16" s="66">
        <v>0</v>
      </c>
      <c r="AS16" s="66">
        <v>0</v>
      </c>
      <c r="AT16" s="66">
        <v>0</v>
      </c>
      <c r="AU16" s="66">
        <v>0</v>
      </c>
      <c r="AV16" s="66">
        <v>0</v>
      </c>
      <c r="AW16" s="66">
        <v>0</v>
      </c>
      <c r="AX16" s="66">
        <v>0</v>
      </c>
      <c r="AY16" s="66">
        <v>0</v>
      </c>
      <c r="AZ16" s="66">
        <v>0</v>
      </c>
      <c r="BA16" s="66">
        <v>0</v>
      </c>
      <c r="BB16" s="66">
        <v>0</v>
      </c>
      <c r="BC16" s="66">
        <v>0</v>
      </c>
      <c r="BD16" s="66">
        <v>0</v>
      </c>
      <c r="BE16" s="66">
        <v>0</v>
      </c>
      <c r="BF16" s="66">
        <v>0</v>
      </c>
      <c r="BG16" s="66">
        <v>0</v>
      </c>
      <c r="BH16" s="66">
        <v>0</v>
      </c>
      <c r="BI16" s="66">
        <v>0</v>
      </c>
      <c r="BJ16" s="66">
        <v>0</v>
      </c>
      <c r="BK16" s="66">
        <v>0</v>
      </c>
      <c r="BL16" s="66">
        <v>0</v>
      </c>
      <c r="BM16" s="66">
        <v>0</v>
      </c>
      <c r="BN16" s="66">
        <v>0</v>
      </c>
      <c r="BO16" s="66">
        <v>0</v>
      </c>
      <c r="BP16" s="66">
        <v>0</v>
      </c>
      <c r="BQ16" s="66">
        <v>0</v>
      </c>
      <c r="BR16" s="66">
        <v>0</v>
      </c>
      <c r="BS16" s="66">
        <v>0</v>
      </c>
      <c r="BT16" s="66">
        <v>0</v>
      </c>
      <c r="BU16" s="66">
        <v>0</v>
      </c>
      <c r="BV16" s="66">
        <v>0</v>
      </c>
      <c r="BW16" s="66">
        <v>0</v>
      </c>
      <c r="BX16" s="66">
        <v>0</v>
      </c>
      <c r="BY16" s="66">
        <v>0</v>
      </c>
      <c r="BZ16" s="66">
        <v>0</v>
      </c>
      <c r="CA16" s="66">
        <v>0</v>
      </c>
      <c r="CB16" s="66">
        <v>0</v>
      </c>
      <c r="CC16" s="66">
        <v>0</v>
      </c>
      <c r="CD16" s="66">
        <v>0</v>
      </c>
      <c r="CE16" s="66">
        <v>0</v>
      </c>
      <c r="CF16" s="66">
        <v>0</v>
      </c>
      <c r="CG16" s="66">
        <v>0</v>
      </c>
      <c r="CH16" s="66">
        <v>0</v>
      </c>
      <c r="CI16" s="66">
        <v>0</v>
      </c>
      <c r="CJ16" s="66">
        <v>0</v>
      </c>
      <c r="CK16" s="66">
        <v>0</v>
      </c>
      <c r="CL16" s="66">
        <v>0</v>
      </c>
      <c r="CM16" s="66">
        <v>0</v>
      </c>
      <c r="CN16" s="66">
        <v>0</v>
      </c>
      <c r="CO16" s="66">
        <v>0</v>
      </c>
      <c r="CP16" s="66">
        <v>0</v>
      </c>
      <c r="CQ16" s="66">
        <v>0</v>
      </c>
      <c r="CR16" s="66">
        <v>0</v>
      </c>
      <c r="CS16" s="66">
        <v>0</v>
      </c>
      <c r="CT16" s="66">
        <v>0</v>
      </c>
      <c r="CU16" s="66">
        <v>0</v>
      </c>
      <c r="CV16" s="66">
        <v>0</v>
      </c>
      <c r="CW16" s="66">
        <v>0</v>
      </c>
      <c r="CX16" s="66">
        <v>0</v>
      </c>
      <c r="CY16" s="66">
        <v>0</v>
      </c>
      <c r="CZ16" s="66">
        <v>0</v>
      </c>
      <c r="DA16" s="66">
        <v>0</v>
      </c>
      <c r="DB16" s="66">
        <v>0</v>
      </c>
      <c r="DC16" s="66">
        <v>0</v>
      </c>
      <c r="DD16" s="66">
        <v>0</v>
      </c>
      <c r="DE16" s="66">
        <v>0</v>
      </c>
      <c r="DF16" s="66">
        <v>0</v>
      </c>
      <c r="DG16" s="66">
        <v>0</v>
      </c>
      <c r="DH16" s="66">
        <v>0</v>
      </c>
      <c r="DI16" s="66">
        <v>0</v>
      </c>
      <c r="DJ16" s="66">
        <v>0</v>
      </c>
    </row>
    <row r="17" spans="1:152">
      <c r="A17" s="1" t="s">
        <v>703</v>
      </c>
      <c r="B17" s="1" t="s">
        <v>791</v>
      </c>
      <c r="C17" s="1" t="s">
        <v>785</v>
      </c>
      <c r="D17" s="1" t="s">
        <v>685</v>
      </c>
      <c r="E17" s="1" t="s">
        <v>685</v>
      </c>
      <c r="F17" s="1" t="s">
        <v>3029</v>
      </c>
      <c r="G17" s="77">
        <f t="shared" si="0"/>
        <v>4</v>
      </c>
      <c r="H17" s="66">
        <v>0</v>
      </c>
      <c r="I17" s="66">
        <v>0</v>
      </c>
      <c r="J17" s="66">
        <v>0</v>
      </c>
      <c r="K17" s="66">
        <v>0</v>
      </c>
      <c r="L17" s="66">
        <v>0</v>
      </c>
      <c r="M17" s="66">
        <v>0</v>
      </c>
      <c r="N17" s="66">
        <v>4</v>
      </c>
      <c r="O17" s="66">
        <v>0</v>
      </c>
      <c r="P17" s="66">
        <v>0</v>
      </c>
      <c r="Q17" s="66">
        <v>0</v>
      </c>
      <c r="R17" s="66">
        <v>0</v>
      </c>
      <c r="S17" s="66">
        <v>0</v>
      </c>
      <c r="T17" s="66">
        <v>0</v>
      </c>
      <c r="U17" s="66">
        <v>0</v>
      </c>
      <c r="V17" s="66">
        <v>0</v>
      </c>
      <c r="W17" s="66">
        <v>0</v>
      </c>
      <c r="X17" s="66">
        <v>0</v>
      </c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6">
        <v>0</v>
      </c>
      <c r="AU17" s="66">
        <v>0</v>
      </c>
      <c r="AV17" s="66">
        <v>0</v>
      </c>
      <c r="AW17" s="66">
        <v>0</v>
      </c>
      <c r="AX17" s="66">
        <v>0</v>
      </c>
      <c r="AY17" s="66">
        <v>0</v>
      </c>
      <c r="AZ17" s="66">
        <v>0</v>
      </c>
      <c r="BA17" s="66">
        <v>0</v>
      </c>
      <c r="BB17" s="66">
        <v>0</v>
      </c>
      <c r="BC17" s="66">
        <v>0</v>
      </c>
      <c r="BD17" s="66">
        <v>0</v>
      </c>
      <c r="BE17" s="66">
        <v>0</v>
      </c>
      <c r="BF17" s="66">
        <v>0</v>
      </c>
      <c r="BG17" s="66">
        <v>0</v>
      </c>
      <c r="BH17" s="66">
        <v>0</v>
      </c>
      <c r="BI17" s="66">
        <v>0</v>
      </c>
      <c r="BJ17" s="66">
        <v>0</v>
      </c>
      <c r="BK17" s="66">
        <v>0</v>
      </c>
      <c r="BL17" s="66">
        <v>0</v>
      </c>
      <c r="BM17" s="66">
        <v>0</v>
      </c>
      <c r="BN17" s="66">
        <v>0</v>
      </c>
      <c r="BO17" s="66">
        <v>0</v>
      </c>
      <c r="BP17" s="66">
        <v>0</v>
      </c>
      <c r="BQ17" s="66">
        <v>0</v>
      </c>
      <c r="BR17" s="66">
        <v>0</v>
      </c>
      <c r="BS17" s="66">
        <v>0</v>
      </c>
      <c r="BT17" s="66">
        <v>0</v>
      </c>
      <c r="BU17" s="66">
        <v>0</v>
      </c>
      <c r="BV17" s="66">
        <v>0</v>
      </c>
      <c r="BW17" s="66">
        <v>0</v>
      </c>
      <c r="BX17" s="66">
        <v>0</v>
      </c>
      <c r="BY17" s="66">
        <v>0</v>
      </c>
      <c r="BZ17" s="66">
        <v>0</v>
      </c>
      <c r="CA17" s="66">
        <v>0</v>
      </c>
      <c r="CB17" s="66">
        <v>0</v>
      </c>
      <c r="CC17" s="66">
        <v>0</v>
      </c>
      <c r="CD17" s="66">
        <v>0</v>
      </c>
      <c r="CE17" s="66">
        <v>0</v>
      </c>
      <c r="CF17" s="66">
        <v>0</v>
      </c>
      <c r="CG17" s="66">
        <v>0</v>
      </c>
      <c r="CH17" s="66">
        <v>0</v>
      </c>
      <c r="CI17" s="66">
        <v>0</v>
      </c>
      <c r="CJ17" s="66">
        <v>0</v>
      </c>
      <c r="CK17" s="66">
        <v>0</v>
      </c>
      <c r="CL17" s="66">
        <v>0</v>
      </c>
      <c r="CM17" s="66">
        <v>0</v>
      </c>
      <c r="CN17" s="66">
        <v>0</v>
      </c>
      <c r="CO17" s="66">
        <v>0</v>
      </c>
      <c r="CP17" s="66">
        <v>0</v>
      </c>
      <c r="CQ17" s="66">
        <v>0</v>
      </c>
      <c r="CR17" s="66">
        <v>0</v>
      </c>
      <c r="CS17" s="66">
        <v>0</v>
      </c>
      <c r="CT17" s="66">
        <v>0</v>
      </c>
      <c r="CU17" s="66">
        <v>0</v>
      </c>
      <c r="CV17" s="66">
        <v>0</v>
      </c>
      <c r="CW17" s="66">
        <v>0</v>
      </c>
      <c r="CX17" s="66">
        <v>0</v>
      </c>
      <c r="CY17" s="66">
        <v>0</v>
      </c>
      <c r="CZ17" s="66">
        <v>0</v>
      </c>
      <c r="DA17" s="66">
        <v>0</v>
      </c>
      <c r="DB17" s="66">
        <v>0</v>
      </c>
      <c r="DC17" s="66">
        <v>0</v>
      </c>
      <c r="DD17" s="66">
        <v>0</v>
      </c>
      <c r="DE17" s="66">
        <v>0</v>
      </c>
      <c r="DF17" s="66">
        <v>0</v>
      </c>
      <c r="DG17" s="66">
        <v>0</v>
      </c>
      <c r="DH17" s="66">
        <v>0</v>
      </c>
      <c r="DI17" s="66">
        <v>0</v>
      </c>
      <c r="DJ17" s="66">
        <v>0</v>
      </c>
    </row>
    <row r="18" spans="1:152">
      <c r="A18" s="1" t="s">
        <v>716</v>
      </c>
      <c r="B18" s="1" t="s">
        <v>790</v>
      </c>
      <c r="C18" s="1" t="s">
        <v>785</v>
      </c>
      <c r="D18" s="1" t="s">
        <v>685</v>
      </c>
      <c r="E18" s="1" t="s">
        <v>685</v>
      </c>
      <c r="F18" s="1" t="s">
        <v>3029</v>
      </c>
      <c r="G18" s="77">
        <f t="shared" si="0"/>
        <v>0</v>
      </c>
      <c r="H18" s="66">
        <v>0</v>
      </c>
      <c r="I18" s="66">
        <v>0</v>
      </c>
      <c r="J18" s="66">
        <v>0</v>
      </c>
      <c r="K18" s="66">
        <v>0</v>
      </c>
      <c r="L18" s="66">
        <v>0</v>
      </c>
      <c r="M18" s="66">
        <v>0</v>
      </c>
      <c r="N18" s="66">
        <v>0</v>
      </c>
      <c r="O18" s="66">
        <v>0</v>
      </c>
      <c r="P18" s="66">
        <v>0</v>
      </c>
      <c r="Q18" s="66">
        <v>0</v>
      </c>
      <c r="R18" s="66">
        <v>0</v>
      </c>
      <c r="S18" s="66">
        <v>0</v>
      </c>
      <c r="T18" s="66">
        <v>0</v>
      </c>
      <c r="U18" s="66">
        <v>0</v>
      </c>
      <c r="V18" s="66">
        <v>0</v>
      </c>
      <c r="W18" s="66">
        <v>0</v>
      </c>
      <c r="X18" s="66">
        <v>0</v>
      </c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6">
        <v>0</v>
      </c>
      <c r="AU18" s="66">
        <v>0</v>
      </c>
      <c r="AV18" s="66">
        <v>0</v>
      </c>
      <c r="AW18" s="66">
        <v>0</v>
      </c>
      <c r="AX18" s="66">
        <v>0</v>
      </c>
      <c r="AY18" s="66">
        <v>0</v>
      </c>
      <c r="AZ18" s="66">
        <v>0</v>
      </c>
      <c r="BA18" s="66">
        <v>0</v>
      </c>
      <c r="BB18" s="66">
        <v>0</v>
      </c>
      <c r="BC18" s="66">
        <v>0</v>
      </c>
      <c r="BD18" s="66">
        <v>0</v>
      </c>
      <c r="BE18" s="66">
        <v>0</v>
      </c>
      <c r="BF18" s="66">
        <v>0</v>
      </c>
      <c r="BG18" s="66">
        <v>0</v>
      </c>
      <c r="BH18" s="66">
        <v>0</v>
      </c>
      <c r="BI18" s="66">
        <v>0</v>
      </c>
      <c r="BJ18" s="66">
        <v>0</v>
      </c>
      <c r="BK18" s="66">
        <v>0</v>
      </c>
      <c r="BL18" s="66">
        <v>0</v>
      </c>
      <c r="BM18" s="66">
        <v>0</v>
      </c>
      <c r="BN18" s="66">
        <v>0</v>
      </c>
      <c r="BO18" s="66">
        <v>0</v>
      </c>
      <c r="BP18" s="66">
        <v>0</v>
      </c>
      <c r="BQ18" s="66">
        <v>0</v>
      </c>
      <c r="BR18" s="66">
        <v>0</v>
      </c>
      <c r="BS18" s="66">
        <v>0</v>
      </c>
      <c r="BT18" s="66">
        <v>0</v>
      </c>
      <c r="BU18" s="66">
        <v>0</v>
      </c>
      <c r="BV18" s="66">
        <v>0</v>
      </c>
      <c r="BW18" s="66">
        <v>0</v>
      </c>
      <c r="BX18" s="66">
        <v>0</v>
      </c>
      <c r="BY18" s="66">
        <v>0</v>
      </c>
      <c r="BZ18" s="66">
        <v>0</v>
      </c>
      <c r="CA18" s="66">
        <v>0</v>
      </c>
      <c r="CB18" s="66">
        <v>0</v>
      </c>
      <c r="CC18" s="66">
        <v>0</v>
      </c>
      <c r="CD18" s="66">
        <v>0</v>
      </c>
      <c r="CE18" s="66">
        <v>0</v>
      </c>
      <c r="CF18" s="66">
        <v>0</v>
      </c>
      <c r="CG18" s="66">
        <v>0</v>
      </c>
      <c r="CH18" s="66">
        <v>0</v>
      </c>
      <c r="CI18" s="66">
        <v>0</v>
      </c>
      <c r="CJ18" s="66">
        <v>0</v>
      </c>
      <c r="CK18" s="66">
        <v>0</v>
      </c>
      <c r="CL18" s="66">
        <v>0</v>
      </c>
      <c r="CM18" s="66">
        <v>0</v>
      </c>
      <c r="CN18" s="66">
        <v>0</v>
      </c>
      <c r="CO18" s="66">
        <v>0</v>
      </c>
      <c r="CP18" s="66">
        <v>0</v>
      </c>
      <c r="CQ18" s="66">
        <v>0</v>
      </c>
      <c r="CR18" s="66">
        <v>0</v>
      </c>
      <c r="CS18" s="66">
        <v>0</v>
      </c>
      <c r="CT18" s="66">
        <v>0</v>
      </c>
      <c r="CU18" s="66">
        <v>0</v>
      </c>
      <c r="CV18" s="66">
        <v>0</v>
      </c>
      <c r="CW18" s="66">
        <v>0</v>
      </c>
      <c r="CX18" s="66">
        <v>0</v>
      </c>
      <c r="CY18" s="66">
        <v>0</v>
      </c>
      <c r="CZ18" s="66">
        <v>0</v>
      </c>
      <c r="DA18" s="66">
        <v>0</v>
      </c>
      <c r="DB18" s="66">
        <v>0</v>
      </c>
      <c r="DC18" s="66">
        <v>0</v>
      </c>
      <c r="DD18" s="66">
        <v>0</v>
      </c>
      <c r="DE18" s="66">
        <v>0</v>
      </c>
      <c r="DF18" s="66">
        <v>0</v>
      </c>
      <c r="DG18" s="66">
        <v>0</v>
      </c>
      <c r="DH18" s="66">
        <v>0</v>
      </c>
      <c r="DI18" s="66">
        <v>0</v>
      </c>
      <c r="DJ18" s="66">
        <v>0</v>
      </c>
    </row>
    <row r="19" spans="1:152">
      <c r="A19" s="1" t="s">
        <v>702</v>
      </c>
      <c r="B19" s="1" t="s">
        <v>789</v>
      </c>
      <c r="C19" s="1" t="s">
        <v>788</v>
      </c>
      <c r="D19" s="1">
        <v>114.432</v>
      </c>
      <c r="E19" s="1">
        <v>22.368670000000002</v>
      </c>
      <c r="F19" s="1" t="s">
        <v>3029</v>
      </c>
      <c r="G19" s="77">
        <f t="shared" si="0"/>
        <v>10222</v>
      </c>
      <c r="H19" s="66">
        <v>0</v>
      </c>
      <c r="I19" s="66">
        <v>0</v>
      </c>
      <c r="J19" s="66">
        <v>0</v>
      </c>
      <c r="K19" s="66">
        <v>0</v>
      </c>
      <c r="L19" s="66">
        <v>0</v>
      </c>
      <c r="M19" s="66">
        <v>0</v>
      </c>
      <c r="N19" s="66">
        <v>10222</v>
      </c>
      <c r="O19" s="66">
        <v>0</v>
      </c>
      <c r="P19" s="66">
        <v>0</v>
      </c>
      <c r="Q19" s="66">
        <v>0</v>
      </c>
      <c r="R19" s="66">
        <v>0</v>
      </c>
      <c r="S19" s="66">
        <v>0</v>
      </c>
      <c r="T19" s="66">
        <v>0</v>
      </c>
      <c r="U19" s="66">
        <v>0</v>
      </c>
      <c r="V19" s="66">
        <v>0</v>
      </c>
      <c r="W19" s="66">
        <v>0</v>
      </c>
      <c r="X19" s="66">
        <v>0</v>
      </c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66">
        <v>0</v>
      </c>
      <c r="AS19" s="66">
        <v>0</v>
      </c>
      <c r="AT19" s="66">
        <v>0</v>
      </c>
      <c r="AU19" s="66">
        <v>0</v>
      </c>
      <c r="AV19" s="66">
        <v>0</v>
      </c>
      <c r="AW19" s="66">
        <v>0</v>
      </c>
      <c r="AX19" s="66">
        <v>0</v>
      </c>
      <c r="AY19" s="66">
        <v>0</v>
      </c>
      <c r="AZ19" s="66">
        <v>0</v>
      </c>
      <c r="BA19" s="66">
        <v>0</v>
      </c>
      <c r="BB19" s="66">
        <v>0</v>
      </c>
      <c r="BC19" s="66">
        <v>0</v>
      </c>
      <c r="BD19" s="66">
        <v>0</v>
      </c>
      <c r="BE19" s="66">
        <v>0</v>
      </c>
      <c r="BF19" s="66">
        <v>0</v>
      </c>
      <c r="BG19" s="66">
        <v>0</v>
      </c>
      <c r="BH19" s="66">
        <v>0</v>
      </c>
      <c r="BI19" s="66">
        <v>0</v>
      </c>
      <c r="BJ19" s="66">
        <v>0</v>
      </c>
      <c r="BK19" s="66">
        <v>0</v>
      </c>
      <c r="BL19" s="66">
        <v>0</v>
      </c>
      <c r="BM19" s="66">
        <v>0</v>
      </c>
      <c r="BN19" s="66">
        <v>0</v>
      </c>
      <c r="BO19" s="66">
        <v>0</v>
      </c>
      <c r="BP19" s="66">
        <v>0</v>
      </c>
      <c r="BQ19" s="66">
        <v>0</v>
      </c>
      <c r="BR19" s="66">
        <v>0</v>
      </c>
      <c r="BS19" s="66">
        <v>0</v>
      </c>
      <c r="BT19" s="66">
        <v>0</v>
      </c>
      <c r="BU19" s="66">
        <v>0</v>
      </c>
      <c r="BV19" s="66">
        <v>0</v>
      </c>
      <c r="BW19" s="66">
        <v>0</v>
      </c>
      <c r="BX19" s="66">
        <v>0</v>
      </c>
      <c r="BY19" s="66">
        <v>0</v>
      </c>
      <c r="BZ19" s="66">
        <v>0</v>
      </c>
      <c r="CA19" s="66">
        <v>0</v>
      </c>
      <c r="CB19" s="66">
        <v>0</v>
      </c>
      <c r="CC19" s="66">
        <v>0</v>
      </c>
      <c r="CD19" s="66">
        <v>0</v>
      </c>
      <c r="CE19" s="66">
        <v>0</v>
      </c>
      <c r="CF19" s="66">
        <v>0</v>
      </c>
      <c r="CG19" s="66">
        <v>0</v>
      </c>
      <c r="CH19" s="66">
        <v>0</v>
      </c>
      <c r="CI19" s="66">
        <v>0</v>
      </c>
      <c r="CJ19" s="66">
        <v>0</v>
      </c>
      <c r="CK19" s="66">
        <v>0</v>
      </c>
      <c r="CL19" s="66">
        <v>0</v>
      </c>
      <c r="CM19" s="66">
        <v>0</v>
      </c>
      <c r="CN19" s="66">
        <v>0</v>
      </c>
      <c r="CO19" s="66">
        <v>0</v>
      </c>
      <c r="CP19" s="66">
        <v>0</v>
      </c>
      <c r="CQ19" s="66">
        <v>0</v>
      </c>
      <c r="CR19" s="66">
        <v>0</v>
      </c>
      <c r="CS19" s="66">
        <v>0</v>
      </c>
      <c r="CT19" s="66">
        <v>0</v>
      </c>
      <c r="CU19" s="66">
        <v>0</v>
      </c>
      <c r="CV19" s="66">
        <v>0</v>
      </c>
      <c r="CW19" s="66">
        <v>0</v>
      </c>
      <c r="CX19" s="66">
        <v>0</v>
      </c>
      <c r="CY19" s="66">
        <v>0</v>
      </c>
      <c r="CZ19" s="66">
        <v>0</v>
      </c>
      <c r="DA19" s="66">
        <v>0</v>
      </c>
      <c r="DB19" s="66">
        <v>0</v>
      </c>
      <c r="DC19" s="66">
        <v>0</v>
      </c>
      <c r="DD19" s="66">
        <v>0</v>
      </c>
      <c r="DE19" s="66">
        <v>0</v>
      </c>
      <c r="DF19" s="66">
        <v>0</v>
      </c>
      <c r="DG19" s="66">
        <v>0</v>
      </c>
      <c r="DH19" s="66">
        <v>0</v>
      </c>
      <c r="DI19" s="66">
        <v>0</v>
      </c>
      <c r="DJ19" s="66">
        <v>0</v>
      </c>
    </row>
    <row r="20" spans="1:152">
      <c r="A20" s="1" t="s">
        <v>701</v>
      </c>
      <c r="B20" s="1" t="s">
        <v>787</v>
      </c>
      <c r="C20" s="1" t="s">
        <v>785</v>
      </c>
      <c r="D20" s="1" t="s">
        <v>685</v>
      </c>
      <c r="E20" s="1" t="s">
        <v>685</v>
      </c>
      <c r="F20" s="1" t="s">
        <v>3029</v>
      </c>
      <c r="G20" s="77">
        <f t="shared" si="0"/>
        <v>1</v>
      </c>
      <c r="H20" s="66">
        <v>0</v>
      </c>
      <c r="I20" s="66">
        <v>1</v>
      </c>
      <c r="J20" s="66">
        <v>0</v>
      </c>
      <c r="K20" s="66">
        <v>0</v>
      </c>
      <c r="L20" s="66">
        <v>0</v>
      </c>
      <c r="M20" s="66">
        <v>0</v>
      </c>
      <c r="N20" s="66">
        <v>0</v>
      </c>
      <c r="O20" s="66">
        <v>0</v>
      </c>
      <c r="P20" s="66">
        <v>0</v>
      </c>
      <c r="Q20" s="66">
        <v>0</v>
      </c>
      <c r="R20" s="66">
        <v>0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66">
        <v>0</v>
      </c>
      <c r="AA20" s="66">
        <v>0</v>
      </c>
      <c r="AB20" s="66">
        <v>0</v>
      </c>
      <c r="AC20" s="66">
        <v>0</v>
      </c>
      <c r="AD20" s="66">
        <v>0</v>
      </c>
      <c r="AE20" s="66">
        <v>0</v>
      </c>
      <c r="AF20" s="66">
        <v>0</v>
      </c>
      <c r="AG20" s="66">
        <v>0</v>
      </c>
      <c r="AH20" s="66">
        <v>0</v>
      </c>
      <c r="AI20" s="66">
        <v>0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6">
        <v>0</v>
      </c>
      <c r="AU20" s="66">
        <v>0</v>
      </c>
      <c r="AV20" s="66">
        <v>0</v>
      </c>
      <c r="AW20" s="66">
        <v>0</v>
      </c>
      <c r="AX20" s="66">
        <v>0</v>
      </c>
      <c r="AY20" s="66">
        <v>0</v>
      </c>
      <c r="AZ20" s="66">
        <v>0</v>
      </c>
      <c r="BA20" s="66">
        <v>0</v>
      </c>
      <c r="BB20" s="66">
        <v>0</v>
      </c>
      <c r="BC20" s="66">
        <v>0</v>
      </c>
      <c r="BD20" s="66">
        <v>0</v>
      </c>
      <c r="BE20" s="66">
        <v>0</v>
      </c>
      <c r="BF20" s="66">
        <v>0</v>
      </c>
      <c r="BG20" s="66">
        <v>0</v>
      </c>
      <c r="BH20" s="66">
        <v>0</v>
      </c>
      <c r="BI20" s="66">
        <v>0</v>
      </c>
      <c r="BJ20" s="66">
        <v>0</v>
      </c>
      <c r="BK20" s="66">
        <v>0</v>
      </c>
      <c r="BL20" s="66">
        <v>0</v>
      </c>
      <c r="BM20" s="66">
        <v>0</v>
      </c>
      <c r="BN20" s="66">
        <v>0</v>
      </c>
      <c r="BO20" s="66">
        <v>0</v>
      </c>
      <c r="BP20" s="66">
        <v>0</v>
      </c>
      <c r="BQ20" s="66">
        <v>0</v>
      </c>
      <c r="BR20" s="66">
        <v>0</v>
      </c>
      <c r="BS20" s="66">
        <v>0</v>
      </c>
      <c r="BT20" s="66">
        <v>0</v>
      </c>
      <c r="BU20" s="66">
        <v>0</v>
      </c>
      <c r="BV20" s="66">
        <v>0</v>
      </c>
      <c r="BW20" s="66">
        <v>0</v>
      </c>
      <c r="BX20" s="66">
        <v>0</v>
      </c>
      <c r="BY20" s="66">
        <v>0</v>
      </c>
      <c r="BZ20" s="66">
        <v>0</v>
      </c>
      <c r="CA20" s="66">
        <v>0</v>
      </c>
      <c r="CB20" s="66">
        <v>0</v>
      </c>
      <c r="CC20" s="66">
        <v>0</v>
      </c>
      <c r="CD20" s="66">
        <v>0</v>
      </c>
      <c r="CE20" s="66">
        <v>0</v>
      </c>
      <c r="CF20" s="66">
        <v>0</v>
      </c>
      <c r="CG20" s="66">
        <v>0</v>
      </c>
      <c r="CH20" s="66">
        <v>0</v>
      </c>
      <c r="CI20" s="66">
        <v>0</v>
      </c>
      <c r="CJ20" s="66">
        <v>0</v>
      </c>
      <c r="CK20" s="66">
        <v>0</v>
      </c>
      <c r="CL20" s="66">
        <v>0</v>
      </c>
      <c r="CM20" s="66">
        <v>0</v>
      </c>
      <c r="CN20" s="66">
        <v>0</v>
      </c>
      <c r="CO20" s="66">
        <v>0</v>
      </c>
      <c r="CP20" s="66">
        <v>0</v>
      </c>
      <c r="CQ20" s="66">
        <v>0</v>
      </c>
      <c r="CR20" s="66">
        <v>0</v>
      </c>
      <c r="CS20" s="66">
        <v>0</v>
      </c>
      <c r="CT20" s="66">
        <v>0</v>
      </c>
      <c r="CU20" s="66">
        <v>0</v>
      </c>
      <c r="CV20" s="66">
        <v>0</v>
      </c>
      <c r="CW20" s="66">
        <v>0</v>
      </c>
      <c r="CX20" s="66">
        <v>0</v>
      </c>
      <c r="CY20" s="66">
        <v>0</v>
      </c>
      <c r="CZ20" s="66">
        <v>0</v>
      </c>
      <c r="DA20" s="66">
        <v>0</v>
      </c>
      <c r="DB20" s="66">
        <v>0</v>
      </c>
      <c r="DC20" s="66">
        <v>0</v>
      </c>
      <c r="DD20" s="66">
        <v>0</v>
      </c>
      <c r="DE20" s="66">
        <v>0</v>
      </c>
      <c r="DF20" s="66">
        <v>0</v>
      </c>
      <c r="DG20" s="66">
        <v>0</v>
      </c>
      <c r="DH20" s="66">
        <v>0</v>
      </c>
      <c r="DI20" s="66">
        <v>0</v>
      </c>
      <c r="DJ20" s="66">
        <v>0</v>
      </c>
    </row>
    <row r="21" spans="1:152">
      <c r="A21" s="1" t="s">
        <v>715</v>
      </c>
      <c r="B21" s="1" t="s">
        <v>786</v>
      </c>
      <c r="C21" s="1" t="s">
        <v>785</v>
      </c>
      <c r="D21" s="1" t="s">
        <v>685</v>
      </c>
      <c r="E21" s="1" t="s">
        <v>685</v>
      </c>
      <c r="F21" s="1" t="s">
        <v>3029</v>
      </c>
      <c r="G21" s="77">
        <f t="shared" si="0"/>
        <v>0</v>
      </c>
      <c r="H21" s="66">
        <v>0</v>
      </c>
      <c r="I21" s="66">
        <v>0</v>
      </c>
      <c r="J21" s="66">
        <v>0</v>
      </c>
      <c r="K21" s="66">
        <v>0</v>
      </c>
      <c r="L21" s="66">
        <v>0</v>
      </c>
      <c r="M21" s="66">
        <v>0</v>
      </c>
      <c r="N21" s="66">
        <v>0</v>
      </c>
      <c r="O21" s="66">
        <v>0</v>
      </c>
      <c r="P21" s="66">
        <v>0</v>
      </c>
      <c r="Q21" s="66">
        <v>0</v>
      </c>
      <c r="R21" s="66">
        <v>0</v>
      </c>
      <c r="S21" s="66">
        <v>0</v>
      </c>
      <c r="T21" s="66">
        <v>0</v>
      </c>
      <c r="U21" s="66">
        <v>0</v>
      </c>
      <c r="V21" s="66">
        <v>0</v>
      </c>
      <c r="W21" s="66">
        <v>0</v>
      </c>
      <c r="X21" s="66">
        <v>0</v>
      </c>
      <c r="Y21" s="66">
        <v>0</v>
      </c>
      <c r="Z21" s="66">
        <v>0</v>
      </c>
      <c r="AA21" s="66">
        <v>0</v>
      </c>
      <c r="AB21" s="66">
        <v>0</v>
      </c>
      <c r="AC21" s="66">
        <v>0</v>
      </c>
      <c r="AD21" s="66">
        <v>0</v>
      </c>
      <c r="AE21" s="66">
        <v>0</v>
      </c>
      <c r="AF21" s="66">
        <v>0</v>
      </c>
      <c r="AG21" s="66">
        <v>0</v>
      </c>
      <c r="AH21" s="66">
        <v>0</v>
      </c>
      <c r="AI21" s="66">
        <v>0</v>
      </c>
      <c r="AJ21" s="66">
        <v>0</v>
      </c>
      <c r="AK21" s="66">
        <v>0</v>
      </c>
      <c r="AL21" s="66">
        <v>0</v>
      </c>
      <c r="AM21" s="66">
        <v>0</v>
      </c>
      <c r="AN21" s="66">
        <v>0</v>
      </c>
      <c r="AO21" s="66">
        <v>0</v>
      </c>
      <c r="AP21" s="66">
        <v>0</v>
      </c>
      <c r="AQ21" s="66">
        <v>0</v>
      </c>
      <c r="AR21" s="66">
        <v>0</v>
      </c>
      <c r="AS21" s="66">
        <v>0</v>
      </c>
      <c r="AT21" s="66">
        <v>0</v>
      </c>
      <c r="AU21" s="66">
        <v>0</v>
      </c>
      <c r="AV21" s="66">
        <v>0</v>
      </c>
      <c r="AW21" s="66">
        <v>0</v>
      </c>
      <c r="AX21" s="66">
        <v>0</v>
      </c>
      <c r="AY21" s="66">
        <v>0</v>
      </c>
      <c r="AZ21" s="66">
        <v>0</v>
      </c>
      <c r="BA21" s="66">
        <v>0</v>
      </c>
      <c r="BB21" s="66">
        <v>0</v>
      </c>
      <c r="BC21" s="66">
        <v>0</v>
      </c>
      <c r="BD21" s="66">
        <v>0</v>
      </c>
      <c r="BE21" s="66">
        <v>0</v>
      </c>
      <c r="BF21" s="66">
        <v>0</v>
      </c>
      <c r="BG21" s="66">
        <v>0</v>
      </c>
      <c r="BH21" s="66">
        <v>0</v>
      </c>
      <c r="BI21" s="66">
        <v>0</v>
      </c>
      <c r="BJ21" s="66">
        <v>0</v>
      </c>
      <c r="BK21" s="66">
        <v>0</v>
      </c>
      <c r="BL21" s="66">
        <v>0</v>
      </c>
      <c r="BM21" s="66">
        <v>0</v>
      </c>
      <c r="BN21" s="66">
        <v>0</v>
      </c>
      <c r="BO21" s="66">
        <v>0</v>
      </c>
      <c r="BP21" s="66">
        <v>0</v>
      </c>
      <c r="BQ21" s="66">
        <v>0</v>
      </c>
      <c r="BR21" s="66">
        <v>0</v>
      </c>
      <c r="BS21" s="66">
        <v>0</v>
      </c>
      <c r="BT21" s="66">
        <v>0</v>
      </c>
      <c r="BU21" s="66">
        <v>0</v>
      </c>
      <c r="BV21" s="66">
        <v>0</v>
      </c>
      <c r="BW21" s="66">
        <v>0</v>
      </c>
      <c r="BX21" s="66">
        <v>0</v>
      </c>
      <c r="BY21" s="66">
        <v>0</v>
      </c>
      <c r="BZ21" s="66">
        <v>0</v>
      </c>
      <c r="CA21" s="66">
        <v>0</v>
      </c>
      <c r="CB21" s="66">
        <v>0</v>
      </c>
      <c r="CC21" s="66">
        <v>0</v>
      </c>
      <c r="CD21" s="66">
        <v>0</v>
      </c>
      <c r="CE21" s="66">
        <v>0</v>
      </c>
      <c r="CF21" s="66">
        <v>0</v>
      </c>
      <c r="CG21" s="66">
        <v>0</v>
      </c>
      <c r="CH21" s="66">
        <v>0</v>
      </c>
      <c r="CI21" s="66">
        <v>0</v>
      </c>
      <c r="CJ21" s="66">
        <v>0</v>
      </c>
      <c r="CK21" s="66">
        <v>0</v>
      </c>
      <c r="CL21" s="66">
        <v>0</v>
      </c>
      <c r="CM21" s="66">
        <v>0</v>
      </c>
      <c r="CN21" s="66">
        <v>0</v>
      </c>
      <c r="CO21" s="66">
        <v>0</v>
      </c>
      <c r="CP21" s="66">
        <v>0</v>
      </c>
      <c r="CQ21" s="66">
        <v>0</v>
      </c>
      <c r="CR21" s="66">
        <v>0</v>
      </c>
      <c r="CS21" s="66">
        <v>0</v>
      </c>
      <c r="CT21" s="66">
        <v>0</v>
      </c>
      <c r="CU21" s="66">
        <v>0</v>
      </c>
      <c r="CV21" s="66">
        <v>0</v>
      </c>
      <c r="CW21" s="66">
        <v>0</v>
      </c>
      <c r="CX21" s="66">
        <v>0</v>
      </c>
      <c r="CY21" s="66">
        <v>0</v>
      </c>
      <c r="CZ21" s="66">
        <v>0</v>
      </c>
      <c r="DA21" s="66">
        <v>0</v>
      </c>
      <c r="DB21" s="66">
        <v>0</v>
      </c>
      <c r="DC21" s="66">
        <v>0</v>
      </c>
      <c r="DD21" s="66">
        <v>0</v>
      </c>
      <c r="DE21" s="66">
        <v>0</v>
      </c>
      <c r="DF21" s="66">
        <v>0</v>
      </c>
      <c r="DG21" s="66">
        <v>0</v>
      </c>
      <c r="DH21" s="66">
        <v>0</v>
      </c>
      <c r="DI21" s="66">
        <v>0</v>
      </c>
      <c r="DJ21" s="66">
        <v>0</v>
      </c>
    </row>
    <row r="23" spans="1:152" s="8" customFormat="1">
      <c r="F23" s="67" t="s">
        <v>653</v>
      </c>
      <c r="G23" s="68">
        <f t="shared" ref="G23:AL23" si="1">SUM(G6:G21)</f>
        <v>624612</v>
      </c>
      <c r="H23" s="68">
        <f t="shared" si="1"/>
        <v>185861</v>
      </c>
      <c r="I23" s="68">
        <f t="shared" si="1"/>
        <v>174042</v>
      </c>
      <c r="J23" s="68">
        <f t="shared" si="1"/>
        <v>94692</v>
      </c>
      <c r="K23" s="68">
        <f t="shared" si="1"/>
        <v>91898</v>
      </c>
      <c r="L23" s="68">
        <f t="shared" si="1"/>
        <v>30852</v>
      </c>
      <c r="M23" s="68">
        <f t="shared" si="1"/>
        <v>19464</v>
      </c>
      <c r="N23" s="68">
        <f t="shared" si="1"/>
        <v>10229</v>
      </c>
      <c r="O23" s="68">
        <f t="shared" si="1"/>
        <v>1898</v>
      </c>
      <c r="P23" s="68">
        <f t="shared" si="1"/>
        <v>843</v>
      </c>
      <c r="Q23" s="68">
        <f t="shared" si="1"/>
        <v>823</v>
      </c>
      <c r="R23" s="68">
        <f t="shared" si="1"/>
        <v>689</v>
      </c>
      <c r="S23" s="68">
        <f t="shared" si="1"/>
        <v>686</v>
      </c>
      <c r="T23" s="68">
        <f t="shared" si="1"/>
        <v>630</v>
      </c>
      <c r="U23" s="68">
        <f t="shared" si="1"/>
        <v>629</v>
      </c>
      <c r="V23" s="68">
        <f t="shared" si="1"/>
        <v>592</v>
      </c>
      <c r="W23" s="68">
        <f t="shared" si="1"/>
        <v>538</v>
      </c>
      <c r="X23" s="68">
        <f t="shared" si="1"/>
        <v>512</v>
      </c>
      <c r="Y23" s="68">
        <f t="shared" si="1"/>
        <v>492</v>
      </c>
      <c r="Z23" s="68">
        <f t="shared" si="1"/>
        <v>427</v>
      </c>
      <c r="AA23" s="68">
        <f t="shared" si="1"/>
        <v>411</v>
      </c>
      <c r="AB23" s="68">
        <f t="shared" si="1"/>
        <v>373</v>
      </c>
      <c r="AC23" s="68">
        <f t="shared" si="1"/>
        <v>352</v>
      </c>
      <c r="AD23" s="68">
        <f t="shared" si="1"/>
        <v>321</v>
      </c>
      <c r="AE23" s="68">
        <f t="shared" si="1"/>
        <v>318</v>
      </c>
      <c r="AF23" s="68">
        <f t="shared" si="1"/>
        <v>316</v>
      </c>
      <c r="AG23" s="68">
        <f t="shared" si="1"/>
        <v>309</v>
      </c>
      <c r="AH23" s="68">
        <f t="shared" si="1"/>
        <v>308</v>
      </c>
      <c r="AI23" s="68">
        <f t="shared" si="1"/>
        <v>298</v>
      </c>
      <c r="AJ23" s="68">
        <f t="shared" si="1"/>
        <v>296</v>
      </c>
      <c r="AK23" s="68">
        <f t="shared" si="1"/>
        <v>285</v>
      </c>
      <c r="AL23" s="68">
        <f t="shared" si="1"/>
        <v>255</v>
      </c>
      <c r="AM23" s="68">
        <f t="shared" ref="AM23:BR23" si="2">SUM(AM6:AM21)</f>
        <v>236</v>
      </c>
      <c r="AN23" s="68">
        <f t="shared" si="2"/>
        <v>208</v>
      </c>
      <c r="AO23" s="68">
        <f t="shared" si="2"/>
        <v>205</v>
      </c>
      <c r="AP23" s="68">
        <f t="shared" si="2"/>
        <v>193</v>
      </c>
      <c r="AQ23" s="68">
        <f t="shared" si="2"/>
        <v>171</v>
      </c>
      <c r="AR23" s="68">
        <f t="shared" si="2"/>
        <v>169</v>
      </c>
      <c r="AS23" s="68">
        <f t="shared" si="2"/>
        <v>158</v>
      </c>
      <c r="AT23" s="68">
        <f t="shared" si="2"/>
        <v>156</v>
      </c>
      <c r="AU23" s="68">
        <f t="shared" si="2"/>
        <v>155</v>
      </c>
      <c r="AV23" s="68">
        <f t="shared" si="2"/>
        <v>148</v>
      </c>
      <c r="AW23" s="68">
        <f t="shared" si="2"/>
        <v>147</v>
      </c>
      <c r="AX23" s="68">
        <f t="shared" si="2"/>
        <v>133</v>
      </c>
      <c r="AY23" s="68">
        <f t="shared" si="2"/>
        <v>130</v>
      </c>
      <c r="AZ23" s="68">
        <f t="shared" si="2"/>
        <v>127</v>
      </c>
      <c r="BA23" s="68">
        <f t="shared" si="2"/>
        <v>126</v>
      </c>
      <c r="BB23" s="68">
        <f t="shared" si="2"/>
        <v>122</v>
      </c>
      <c r="BC23" s="68">
        <f t="shared" si="2"/>
        <v>116</v>
      </c>
      <c r="BD23" s="68">
        <f t="shared" si="2"/>
        <v>116</v>
      </c>
      <c r="BE23" s="68">
        <f t="shared" si="2"/>
        <v>112</v>
      </c>
      <c r="BF23" s="68">
        <f t="shared" si="2"/>
        <v>112</v>
      </c>
      <c r="BG23" s="68">
        <f t="shared" si="2"/>
        <v>111</v>
      </c>
      <c r="BH23" s="68">
        <f t="shared" si="2"/>
        <v>111</v>
      </c>
      <c r="BI23" s="68">
        <f t="shared" si="2"/>
        <v>107</v>
      </c>
      <c r="BJ23" s="68">
        <f t="shared" si="2"/>
        <v>103</v>
      </c>
      <c r="BK23" s="68">
        <f t="shared" si="2"/>
        <v>102</v>
      </c>
      <c r="BL23" s="68">
        <f t="shared" si="2"/>
        <v>101</v>
      </c>
      <c r="BM23" s="68">
        <f t="shared" si="2"/>
        <v>100</v>
      </c>
      <c r="BN23" s="68">
        <f t="shared" si="2"/>
        <v>99</v>
      </c>
      <c r="BO23" s="68">
        <f t="shared" si="2"/>
        <v>90</v>
      </c>
      <c r="BP23" s="68">
        <f t="shared" si="2"/>
        <v>77</v>
      </c>
      <c r="BQ23" s="68">
        <f t="shared" si="2"/>
        <v>66</v>
      </c>
      <c r="BR23" s="68">
        <f t="shared" si="2"/>
        <v>64</v>
      </c>
      <c r="BS23" s="68">
        <f t="shared" ref="BS23:CX23" si="3">SUM(BS6:BS21)</f>
        <v>57</v>
      </c>
      <c r="BT23" s="68">
        <f t="shared" si="3"/>
        <v>56</v>
      </c>
      <c r="BU23" s="68">
        <f t="shared" si="3"/>
        <v>56</v>
      </c>
      <c r="BV23" s="68">
        <f t="shared" si="3"/>
        <v>52</v>
      </c>
      <c r="BW23" s="68">
        <f t="shared" si="3"/>
        <v>52</v>
      </c>
      <c r="BX23" s="68">
        <f t="shared" si="3"/>
        <v>52</v>
      </c>
      <c r="BY23" s="68">
        <f t="shared" si="3"/>
        <v>46</v>
      </c>
      <c r="BZ23" s="68">
        <f t="shared" si="3"/>
        <v>43</v>
      </c>
      <c r="CA23" s="68">
        <f t="shared" si="3"/>
        <v>42</v>
      </c>
      <c r="CB23" s="68">
        <f t="shared" si="3"/>
        <v>39</v>
      </c>
      <c r="CC23" s="68">
        <f t="shared" si="3"/>
        <v>30</v>
      </c>
      <c r="CD23" s="68">
        <f t="shared" si="3"/>
        <v>27</v>
      </c>
      <c r="CE23" s="68">
        <f t="shared" si="3"/>
        <v>26</v>
      </c>
      <c r="CF23" s="68">
        <f t="shared" si="3"/>
        <v>25</v>
      </c>
      <c r="CG23" s="68">
        <f t="shared" si="3"/>
        <v>20</v>
      </c>
      <c r="CH23" s="68">
        <f t="shared" si="3"/>
        <v>20</v>
      </c>
      <c r="CI23" s="68">
        <f t="shared" si="3"/>
        <v>18</v>
      </c>
      <c r="CJ23" s="68">
        <f t="shared" si="3"/>
        <v>18</v>
      </c>
      <c r="CK23" s="68">
        <f t="shared" si="3"/>
        <v>18</v>
      </c>
      <c r="CL23" s="68">
        <f t="shared" si="3"/>
        <v>16</v>
      </c>
      <c r="CM23" s="68">
        <f t="shared" si="3"/>
        <v>11</v>
      </c>
      <c r="CN23" s="68">
        <f t="shared" si="3"/>
        <v>10</v>
      </c>
      <c r="CO23" s="68">
        <f t="shared" si="3"/>
        <v>9</v>
      </c>
      <c r="CP23" s="68">
        <f t="shared" si="3"/>
        <v>6</v>
      </c>
      <c r="CQ23" s="68">
        <f t="shared" si="3"/>
        <v>5</v>
      </c>
      <c r="CR23" s="68">
        <f t="shared" si="3"/>
        <v>5</v>
      </c>
      <c r="CS23" s="68">
        <f t="shared" si="3"/>
        <v>5</v>
      </c>
      <c r="CT23" s="68">
        <f t="shared" si="3"/>
        <v>4</v>
      </c>
      <c r="CU23" s="68">
        <f t="shared" si="3"/>
        <v>4</v>
      </c>
      <c r="CV23" s="68">
        <f t="shared" si="3"/>
        <v>3</v>
      </c>
      <c r="CW23" s="68">
        <f t="shared" si="3"/>
        <v>3</v>
      </c>
      <c r="CX23" s="68">
        <f t="shared" si="3"/>
        <v>3</v>
      </c>
      <c r="CY23" s="68">
        <f t="shared" ref="CY23:DJ23" si="4">SUM(CY6:CY21)</f>
        <v>3</v>
      </c>
      <c r="CZ23" s="68">
        <f t="shared" si="4"/>
        <v>2</v>
      </c>
      <c r="DA23" s="68">
        <f t="shared" si="4"/>
        <v>2</v>
      </c>
      <c r="DB23" s="68">
        <f t="shared" si="4"/>
        <v>2</v>
      </c>
      <c r="DC23" s="68">
        <f t="shared" si="4"/>
        <v>2</v>
      </c>
      <c r="DD23" s="68">
        <f t="shared" si="4"/>
        <v>2</v>
      </c>
      <c r="DE23" s="68">
        <f t="shared" si="4"/>
        <v>2</v>
      </c>
      <c r="DF23" s="68">
        <f t="shared" si="4"/>
        <v>2</v>
      </c>
      <c r="DG23" s="68">
        <f t="shared" si="4"/>
        <v>1</v>
      </c>
      <c r="DH23" s="68">
        <f t="shared" si="4"/>
        <v>1</v>
      </c>
      <c r="DI23" s="68">
        <f t="shared" si="4"/>
        <v>1</v>
      </c>
      <c r="DJ23" s="68">
        <f t="shared" si="4"/>
        <v>1</v>
      </c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</row>
    <row r="24" spans="1:152">
      <c r="A24" s="1" t="s">
        <v>3024</v>
      </c>
    </row>
    <row r="25" spans="1:152">
      <c r="F25" s="78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54B3-D308-624F-97E5-AFD8AEE6D303}">
  <dimension ref="A1:IF25"/>
  <sheetViews>
    <sheetView zoomScale="150" zoomScaleNormal="150" workbookViewId="0">
      <pane xSplit="7" ySplit="5" topLeftCell="H6" activePane="bottomRight" state="frozen"/>
      <selection pane="topRight" activeCell="F1" sqref="F1"/>
      <selection pane="bottomLeft" activeCell="A5" sqref="A5"/>
      <selection pane="bottomRight" activeCell="A5" sqref="A5"/>
    </sheetView>
  </sheetViews>
  <sheetFormatPr baseColWidth="10" defaultRowHeight="16"/>
  <cols>
    <col min="1" max="1" width="10.5" style="1" customWidth="1"/>
    <col min="2" max="2" width="15" style="1" customWidth="1"/>
    <col min="3" max="3" width="13.33203125" style="1" customWidth="1"/>
    <col min="4" max="5" width="9.33203125" style="1" customWidth="1"/>
    <col min="6" max="6" width="18.83203125" style="1" customWidth="1"/>
    <col min="7" max="7" width="10.6640625" style="1" customWidth="1"/>
    <col min="8" max="9" width="11" style="1" customWidth="1"/>
    <col min="10" max="16384" width="10.83203125" style="1"/>
  </cols>
  <sheetData>
    <row r="1" spans="1:240">
      <c r="G1" s="13" t="s">
        <v>1103</v>
      </c>
    </row>
    <row r="2" spans="1:240">
      <c r="G2" s="13" t="s">
        <v>1102</v>
      </c>
      <c r="H2" s="1" t="s">
        <v>165</v>
      </c>
      <c r="I2" s="1" t="s">
        <v>165</v>
      </c>
      <c r="J2" s="1" t="s">
        <v>165</v>
      </c>
      <c r="L2" s="1" t="s">
        <v>165</v>
      </c>
      <c r="M2" s="1" t="s">
        <v>503</v>
      </c>
      <c r="N2" s="1" t="s">
        <v>498</v>
      </c>
      <c r="O2" s="1" t="s">
        <v>503</v>
      </c>
      <c r="P2" s="1" t="s">
        <v>165</v>
      </c>
      <c r="Q2" s="1" t="s">
        <v>165</v>
      </c>
      <c r="R2" s="1" t="s">
        <v>165</v>
      </c>
      <c r="S2" s="1" t="s">
        <v>512</v>
      </c>
      <c r="T2" s="1" t="s">
        <v>165</v>
      </c>
      <c r="U2" s="1" t="s">
        <v>165</v>
      </c>
      <c r="V2" s="1" t="s">
        <v>165</v>
      </c>
      <c r="W2" s="1" t="s">
        <v>165</v>
      </c>
      <c r="X2" s="1" t="s">
        <v>503</v>
      </c>
      <c r="Y2" s="1" t="s">
        <v>165</v>
      </c>
      <c r="Z2" s="1" t="s">
        <v>165</v>
      </c>
      <c r="AA2" s="1" t="s">
        <v>165</v>
      </c>
      <c r="AB2" s="1" t="s">
        <v>165</v>
      </c>
      <c r="AC2" s="1" t="s">
        <v>165</v>
      </c>
      <c r="AD2" s="1" t="s">
        <v>165</v>
      </c>
      <c r="AE2" s="1" t="s">
        <v>165</v>
      </c>
      <c r="AF2" s="1" t="s">
        <v>165</v>
      </c>
      <c r="AG2" s="1" t="s">
        <v>165</v>
      </c>
      <c r="AH2" s="1" t="s">
        <v>165</v>
      </c>
      <c r="AI2" s="1" t="s">
        <v>165</v>
      </c>
      <c r="AJ2" s="1" t="s">
        <v>165</v>
      </c>
      <c r="AL2" s="1" t="s">
        <v>512</v>
      </c>
      <c r="AM2" s="1" t="s">
        <v>165</v>
      </c>
      <c r="AN2" s="1" t="s">
        <v>165</v>
      </c>
      <c r="AO2" s="1" t="s">
        <v>165</v>
      </c>
      <c r="AP2" s="1" t="s">
        <v>165</v>
      </c>
      <c r="AQ2" s="1" t="s">
        <v>165</v>
      </c>
      <c r="AS2" s="1" t="s">
        <v>165</v>
      </c>
      <c r="AT2" s="1" t="s">
        <v>165</v>
      </c>
      <c r="AU2" s="1" t="s">
        <v>165</v>
      </c>
      <c r="AW2" s="1" t="s">
        <v>165</v>
      </c>
      <c r="AX2" s="1" t="s">
        <v>165</v>
      </c>
      <c r="AY2" s="1" t="s">
        <v>165</v>
      </c>
      <c r="BA2" s="1" t="s">
        <v>165</v>
      </c>
      <c r="BC2" s="1" t="s">
        <v>165</v>
      </c>
      <c r="BF2" s="1" t="s">
        <v>165</v>
      </c>
      <c r="BG2" s="1" t="s">
        <v>165</v>
      </c>
      <c r="BI2" s="1" t="s">
        <v>165</v>
      </c>
      <c r="BJ2" s="1" t="s">
        <v>165</v>
      </c>
      <c r="BL2" s="1" t="s">
        <v>111</v>
      </c>
      <c r="BM2" s="1" t="s">
        <v>165</v>
      </c>
      <c r="BO2" s="1" t="s">
        <v>165</v>
      </c>
      <c r="BP2" s="1" t="s">
        <v>165</v>
      </c>
      <c r="BQ2" s="1" t="s">
        <v>165</v>
      </c>
      <c r="BR2" s="1" t="s">
        <v>165</v>
      </c>
      <c r="BS2" s="1" t="s">
        <v>165</v>
      </c>
      <c r="BT2" s="1" t="s">
        <v>165</v>
      </c>
      <c r="BU2" s="1" t="s">
        <v>165</v>
      </c>
      <c r="BV2" s="1" t="s">
        <v>165</v>
      </c>
      <c r="BW2" s="1" t="s">
        <v>165</v>
      </c>
      <c r="BX2" s="1" t="s">
        <v>165</v>
      </c>
      <c r="BY2" s="1" t="s">
        <v>165</v>
      </c>
      <c r="CA2" s="1" t="s">
        <v>165</v>
      </c>
      <c r="CC2" s="1" t="s">
        <v>165</v>
      </c>
      <c r="CD2" s="1" t="s">
        <v>165</v>
      </c>
      <c r="CE2" s="1" t="s">
        <v>165</v>
      </c>
      <c r="CF2" s="1" t="s">
        <v>165</v>
      </c>
      <c r="CG2" s="1" t="s">
        <v>165</v>
      </c>
      <c r="CH2" s="1" t="s">
        <v>165</v>
      </c>
      <c r="CJ2" s="1" t="s">
        <v>165</v>
      </c>
      <c r="CK2" s="1" t="s">
        <v>165</v>
      </c>
      <c r="CM2" s="1" t="s">
        <v>165</v>
      </c>
      <c r="CN2" s="1" t="s">
        <v>165</v>
      </c>
      <c r="CQ2" s="1" t="s">
        <v>165</v>
      </c>
      <c r="CR2" s="1" t="s">
        <v>165</v>
      </c>
      <c r="CT2" s="1" t="s">
        <v>165</v>
      </c>
      <c r="CU2" s="1" t="s">
        <v>165</v>
      </c>
      <c r="CV2" s="1" t="s">
        <v>165</v>
      </c>
      <c r="CW2" s="1" t="s">
        <v>165</v>
      </c>
      <c r="CY2" s="1" t="s">
        <v>165</v>
      </c>
      <c r="DB2" s="1" t="s">
        <v>165</v>
      </c>
      <c r="DD2" s="1" t="s">
        <v>165</v>
      </c>
      <c r="DF2" s="1" t="s">
        <v>165</v>
      </c>
      <c r="DG2" s="1" t="s">
        <v>165</v>
      </c>
      <c r="DH2" s="1" t="s">
        <v>165</v>
      </c>
      <c r="DJ2" s="1" t="s">
        <v>503</v>
      </c>
      <c r="DK2" s="1" t="s">
        <v>165</v>
      </c>
      <c r="DL2" s="1" t="s">
        <v>165</v>
      </c>
      <c r="DM2" s="1" t="s">
        <v>165</v>
      </c>
      <c r="DN2" s="1" t="s">
        <v>165</v>
      </c>
      <c r="DO2" s="1" t="s">
        <v>165</v>
      </c>
      <c r="DQ2" s="1" t="s">
        <v>165</v>
      </c>
      <c r="DR2" s="1" t="s">
        <v>165</v>
      </c>
      <c r="DS2" s="1" t="s">
        <v>165</v>
      </c>
      <c r="DT2" s="1" t="s">
        <v>165</v>
      </c>
      <c r="DV2" s="1" t="s">
        <v>111</v>
      </c>
      <c r="DW2" s="1" t="s">
        <v>165</v>
      </c>
      <c r="DY2" s="1" t="s">
        <v>165</v>
      </c>
      <c r="DZ2" s="1" t="s">
        <v>165</v>
      </c>
      <c r="ED2" s="1" t="s">
        <v>165</v>
      </c>
      <c r="EF2" s="1" t="s">
        <v>165</v>
      </c>
      <c r="EG2" s="1" t="s">
        <v>165</v>
      </c>
      <c r="EH2" s="1" t="s">
        <v>165</v>
      </c>
      <c r="EI2" s="1" t="s">
        <v>165</v>
      </c>
      <c r="EJ2" s="1" t="s">
        <v>165</v>
      </c>
      <c r="EK2" s="1" t="s">
        <v>165</v>
      </c>
      <c r="EL2" s="1" t="s">
        <v>165</v>
      </c>
      <c r="EN2" s="1" t="s">
        <v>165</v>
      </c>
      <c r="EO2" s="1" t="s">
        <v>165</v>
      </c>
      <c r="EP2" s="1" t="s">
        <v>165</v>
      </c>
      <c r="EQ2" s="1" t="s">
        <v>165</v>
      </c>
      <c r="ER2" s="1" t="s">
        <v>165</v>
      </c>
      <c r="ES2" s="1" t="s">
        <v>165</v>
      </c>
      <c r="EV2" s="1" t="s">
        <v>165</v>
      </c>
      <c r="EW2" s="1" t="s">
        <v>165</v>
      </c>
      <c r="EX2" s="1" t="s">
        <v>165</v>
      </c>
      <c r="EY2" s="1" t="s">
        <v>165</v>
      </c>
      <c r="EZ2" s="1" t="s">
        <v>111</v>
      </c>
      <c r="FB2" s="1" t="s">
        <v>165</v>
      </c>
      <c r="FC2" s="1" t="s">
        <v>165</v>
      </c>
      <c r="FD2" s="1" t="s">
        <v>165</v>
      </c>
      <c r="FE2" s="1" t="s">
        <v>165</v>
      </c>
      <c r="FF2" s="1" t="s">
        <v>165</v>
      </c>
      <c r="FG2" s="1" t="s">
        <v>165</v>
      </c>
      <c r="FI2" s="1" t="s">
        <v>165</v>
      </c>
      <c r="FJ2" s="1" t="s">
        <v>165</v>
      </c>
      <c r="FK2" s="1" t="s">
        <v>165</v>
      </c>
      <c r="FL2" s="1" t="s">
        <v>165</v>
      </c>
      <c r="FM2" s="1" t="s">
        <v>165</v>
      </c>
      <c r="FN2" s="1" t="s">
        <v>165</v>
      </c>
      <c r="FO2" s="1" t="s">
        <v>165</v>
      </c>
      <c r="FP2" s="1" t="s">
        <v>165</v>
      </c>
      <c r="FQ2" s="1" t="s">
        <v>165</v>
      </c>
      <c r="FR2" s="1" t="s">
        <v>165</v>
      </c>
      <c r="FS2" s="1" t="s">
        <v>165</v>
      </c>
      <c r="FT2" s="1" t="s">
        <v>165</v>
      </c>
      <c r="FU2" s="1" t="s">
        <v>165</v>
      </c>
      <c r="FV2" s="1" t="s">
        <v>165</v>
      </c>
      <c r="FY2" s="1" t="s">
        <v>165</v>
      </c>
      <c r="FZ2" s="1" t="s">
        <v>165</v>
      </c>
      <c r="GA2" s="1" t="s">
        <v>165</v>
      </c>
      <c r="GB2" s="1" t="s">
        <v>165</v>
      </c>
      <c r="GD2" s="1" t="s">
        <v>165</v>
      </c>
      <c r="GE2" s="1" t="s">
        <v>111</v>
      </c>
      <c r="GH2" s="1" t="s">
        <v>165</v>
      </c>
      <c r="GI2" s="1" t="s">
        <v>165</v>
      </c>
      <c r="GJ2" s="1" t="s">
        <v>165</v>
      </c>
      <c r="GK2" s="1" t="s">
        <v>165</v>
      </c>
      <c r="GM2" s="1" t="s">
        <v>165</v>
      </c>
      <c r="GO2" s="1" t="s">
        <v>165</v>
      </c>
      <c r="GP2" s="1" t="s">
        <v>165</v>
      </c>
      <c r="GQ2" s="1" t="s">
        <v>165</v>
      </c>
      <c r="GR2" s="1" t="s">
        <v>165</v>
      </c>
      <c r="GT2" s="1" t="s">
        <v>165</v>
      </c>
      <c r="GU2" s="1" t="s">
        <v>165</v>
      </c>
      <c r="GV2" s="1" t="s">
        <v>165</v>
      </c>
      <c r="GW2" s="1" t="s">
        <v>165</v>
      </c>
      <c r="GX2" s="1" t="s">
        <v>165</v>
      </c>
      <c r="GY2" s="1" t="s">
        <v>165</v>
      </c>
      <c r="GZ2" s="1" t="s">
        <v>165</v>
      </c>
      <c r="HA2" s="1" t="s">
        <v>165</v>
      </c>
      <c r="HC2" s="1" t="s">
        <v>165</v>
      </c>
      <c r="HD2" s="1" t="s">
        <v>165</v>
      </c>
      <c r="HE2" s="1" t="s">
        <v>165</v>
      </c>
      <c r="HF2" s="1" t="s">
        <v>165</v>
      </c>
      <c r="HH2" s="1" t="s">
        <v>165</v>
      </c>
      <c r="HI2" s="1" t="s">
        <v>165</v>
      </c>
      <c r="HJ2" s="1" t="s">
        <v>165</v>
      </c>
      <c r="HK2" s="1" t="s">
        <v>1533</v>
      </c>
      <c r="HL2" s="1" t="s">
        <v>503</v>
      </c>
      <c r="HM2" s="1" t="s">
        <v>165</v>
      </c>
      <c r="HN2" s="1" t="s">
        <v>165</v>
      </c>
      <c r="HP2" s="1" t="s">
        <v>165</v>
      </c>
      <c r="HS2" s="1" t="s">
        <v>165</v>
      </c>
      <c r="HT2" s="1" t="s">
        <v>1533</v>
      </c>
      <c r="HU2" s="1" t="s">
        <v>165</v>
      </c>
      <c r="HV2" s="1" t="s">
        <v>165</v>
      </c>
      <c r="HW2" s="1" t="s">
        <v>165</v>
      </c>
      <c r="HX2" s="1" t="s">
        <v>165</v>
      </c>
      <c r="HY2" s="1" t="s">
        <v>165</v>
      </c>
      <c r="IA2" s="1" t="s">
        <v>165</v>
      </c>
      <c r="IB2" s="1" t="s">
        <v>165</v>
      </c>
      <c r="IC2" s="1" t="s">
        <v>165</v>
      </c>
      <c r="ID2" s="1" t="s">
        <v>165</v>
      </c>
      <c r="IE2" s="1" t="s">
        <v>165</v>
      </c>
      <c r="IF2" s="1" t="s">
        <v>165</v>
      </c>
    </row>
    <row r="3" spans="1:240">
      <c r="F3" s="13"/>
      <c r="G3" s="13" t="s">
        <v>1101</v>
      </c>
      <c r="J3" s="1" t="s">
        <v>246</v>
      </c>
      <c r="L3" s="1" t="s">
        <v>256</v>
      </c>
      <c r="M3" s="1" t="s">
        <v>502</v>
      </c>
      <c r="N3" s="1" t="s">
        <v>497</v>
      </c>
      <c r="O3" s="1" t="s">
        <v>502</v>
      </c>
      <c r="T3" s="1" t="s">
        <v>179</v>
      </c>
      <c r="X3" s="1" t="s">
        <v>502</v>
      </c>
      <c r="AL3" s="1" t="s">
        <v>511</v>
      </c>
      <c r="DJ3" s="1" t="s">
        <v>502</v>
      </c>
      <c r="EZ3" s="1" t="s">
        <v>108</v>
      </c>
      <c r="FD3" s="1" t="s">
        <v>232</v>
      </c>
      <c r="HK3" s="1" t="s">
        <v>1532</v>
      </c>
      <c r="HL3" s="1" t="s">
        <v>502</v>
      </c>
    </row>
    <row r="4" spans="1:240">
      <c r="A4" s="13" t="s">
        <v>3035</v>
      </c>
      <c r="F4" s="13"/>
      <c r="G4" s="13" t="s">
        <v>1100</v>
      </c>
      <c r="H4" s="1" t="s">
        <v>1531</v>
      </c>
      <c r="I4" s="1" t="s">
        <v>1530</v>
      </c>
      <c r="J4" s="1" t="s">
        <v>1529</v>
      </c>
      <c r="K4" s="1" t="s">
        <v>1528</v>
      </c>
      <c r="L4" s="1" t="s">
        <v>1527</v>
      </c>
      <c r="M4" s="1" t="s">
        <v>1526</v>
      </c>
      <c r="N4" s="1" t="s">
        <v>1525</v>
      </c>
      <c r="O4" s="1" t="s">
        <v>1524</v>
      </c>
      <c r="P4" s="1" t="s">
        <v>1523</v>
      </c>
      <c r="Q4" s="1" t="s">
        <v>1522</v>
      </c>
      <c r="R4" s="1" t="s">
        <v>1521</v>
      </c>
      <c r="S4" s="1" t="s">
        <v>1520</v>
      </c>
      <c r="T4" s="1" t="s">
        <v>1519</v>
      </c>
      <c r="U4" s="1" t="s">
        <v>1518</v>
      </c>
      <c r="V4" s="1" t="s">
        <v>1517</v>
      </c>
      <c r="W4" s="1" t="s">
        <v>1516</v>
      </c>
      <c r="X4" s="1" t="s">
        <v>1515</v>
      </c>
      <c r="Y4" s="1" t="s">
        <v>1514</v>
      </c>
      <c r="Z4" s="1" t="s">
        <v>1513</v>
      </c>
      <c r="AA4" s="1" t="s">
        <v>1512</v>
      </c>
      <c r="AB4" s="1" t="s">
        <v>1511</v>
      </c>
      <c r="AC4" s="1" t="s">
        <v>1510</v>
      </c>
      <c r="AD4" s="1" t="s">
        <v>1509</v>
      </c>
      <c r="AE4" s="1" t="s">
        <v>1508</v>
      </c>
      <c r="AF4" s="1" t="s">
        <v>1507</v>
      </c>
      <c r="AG4" s="1" t="s">
        <v>1506</v>
      </c>
      <c r="AH4" s="1" t="s">
        <v>1505</v>
      </c>
      <c r="AI4" s="1" t="s">
        <v>1504</v>
      </c>
      <c r="AJ4" s="1" t="s">
        <v>1503</v>
      </c>
      <c r="AK4" s="1" t="s">
        <v>1502</v>
      </c>
      <c r="AL4" s="1" t="s">
        <v>1501</v>
      </c>
      <c r="AM4" s="1" t="s">
        <v>1500</v>
      </c>
      <c r="AN4" s="1" t="s">
        <v>1499</v>
      </c>
      <c r="AO4" s="1" t="s">
        <v>1498</v>
      </c>
      <c r="AP4" s="1" t="s">
        <v>1497</v>
      </c>
      <c r="AQ4" s="1" t="s">
        <v>1496</v>
      </c>
      <c r="AR4" s="1" t="s">
        <v>1495</v>
      </c>
      <c r="AS4" s="1" t="s">
        <v>1494</v>
      </c>
      <c r="AT4" s="1" t="s">
        <v>1493</v>
      </c>
      <c r="AU4" s="1" t="s">
        <v>1492</v>
      </c>
      <c r="AV4" s="1" t="s">
        <v>1491</v>
      </c>
      <c r="AW4" s="1" t="s">
        <v>1490</v>
      </c>
      <c r="AX4" s="1" t="s">
        <v>1489</v>
      </c>
      <c r="AY4" s="1" t="s">
        <v>1488</v>
      </c>
      <c r="AZ4" s="1" t="s">
        <v>1487</v>
      </c>
      <c r="BA4" s="1" t="s">
        <v>1486</v>
      </c>
      <c r="BB4" s="1" t="s">
        <v>1485</v>
      </c>
      <c r="BC4" s="1" t="s">
        <v>1484</v>
      </c>
      <c r="BD4" s="1" t="s">
        <v>1483</v>
      </c>
      <c r="BE4" s="1" t="s">
        <v>1482</v>
      </c>
      <c r="BF4" s="1" t="s">
        <v>1481</v>
      </c>
      <c r="BG4" s="1" t="s">
        <v>1480</v>
      </c>
      <c r="BH4" s="1" t="s">
        <v>1479</v>
      </c>
      <c r="BI4" s="1" t="s">
        <v>1478</v>
      </c>
      <c r="BJ4" s="1" t="s">
        <v>1477</v>
      </c>
      <c r="BK4" s="1" t="s">
        <v>1476</v>
      </c>
      <c r="BL4" s="1" t="s">
        <v>1475</v>
      </c>
      <c r="BM4" s="1" t="s">
        <v>1474</v>
      </c>
      <c r="BN4" s="1" t="s">
        <v>1473</v>
      </c>
      <c r="BO4" s="1" t="s">
        <v>1472</v>
      </c>
      <c r="BP4" s="1" t="s">
        <v>1471</v>
      </c>
      <c r="BQ4" s="1" t="s">
        <v>1470</v>
      </c>
      <c r="BR4" s="1" t="s">
        <v>1469</v>
      </c>
      <c r="BS4" s="1" t="s">
        <v>1468</v>
      </c>
      <c r="BT4" s="1" t="s">
        <v>1467</v>
      </c>
      <c r="BU4" s="1" t="s">
        <v>1466</v>
      </c>
      <c r="BV4" s="1" t="s">
        <v>1465</v>
      </c>
      <c r="BW4" s="1" t="s">
        <v>1464</v>
      </c>
      <c r="BX4" s="1" t="s">
        <v>1463</v>
      </c>
      <c r="BY4" s="1" t="s">
        <v>1462</v>
      </c>
      <c r="BZ4" s="1" t="s">
        <v>1461</v>
      </c>
      <c r="CA4" s="1" t="s">
        <v>1460</v>
      </c>
      <c r="CB4" s="1" t="s">
        <v>1459</v>
      </c>
      <c r="CC4" s="1" t="s">
        <v>1458</v>
      </c>
      <c r="CD4" s="1" t="s">
        <v>1457</v>
      </c>
      <c r="CE4" s="1" t="s">
        <v>1456</v>
      </c>
      <c r="CF4" s="1" t="s">
        <v>1455</v>
      </c>
      <c r="CG4" s="1" t="s">
        <v>1454</v>
      </c>
      <c r="CH4" s="1" t="s">
        <v>1453</v>
      </c>
      <c r="CI4" s="1" t="s">
        <v>1452</v>
      </c>
      <c r="CJ4" s="1" t="s">
        <v>1451</v>
      </c>
      <c r="CK4" s="1" t="s">
        <v>1450</v>
      </c>
      <c r="CL4" s="1" t="s">
        <v>1449</v>
      </c>
      <c r="CM4" s="1" t="s">
        <v>1448</v>
      </c>
      <c r="CN4" s="1" t="s">
        <v>1447</v>
      </c>
      <c r="CO4" s="1" t="s">
        <v>1446</v>
      </c>
      <c r="CP4" s="1" t="s">
        <v>1445</v>
      </c>
      <c r="CQ4" s="1" t="s">
        <v>1444</v>
      </c>
      <c r="CR4" s="1" t="s">
        <v>1443</v>
      </c>
      <c r="CS4" s="1" t="s">
        <v>1442</v>
      </c>
      <c r="CT4" s="1" t="s">
        <v>1441</v>
      </c>
      <c r="CU4" s="1" t="s">
        <v>1440</v>
      </c>
      <c r="CV4" s="1" t="s">
        <v>1439</v>
      </c>
      <c r="CW4" s="1" t="s">
        <v>1438</v>
      </c>
      <c r="CX4" s="1" t="s">
        <v>1437</v>
      </c>
      <c r="CY4" s="1" t="s">
        <v>1436</v>
      </c>
      <c r="CZ4" s="1" t="s">
        <v>1435</v>
      </c>
      <c r="DA4" s="1" t="s">
        <v>1434</v>
      </c>
      <c r="DB4" s="1" t="s">
        <v>1433</v>
      </c>
      <c r="DC4" s="1" t="s">
        <v>1432</v>
      </c>
      <c r="DD4" s="1" t="s">
        <v>1431</v>
      </c>
      <c r="DE4" s="1" t="s">
        <v>1430</v>
      </c>
      <c r="DF4" s="1" t="s">
        <v>1429</v>
      </c>
      <c r="DG4" s="1" t="s">
        <v>1428</v>
      </c>
      <c r="DH4" s="1" t="s">
        <v>1427</v>
      </c>
      <c r="DI4" s="1" t="s">
        <v>1426</v>
      </c>
      <c r="DJ4" s="1" t="s">
        <v>1425</v>
      </c>
      <c r="DK4" s="1" t="s">
        <v>1424</v>
      </c>
      <c r="DL4" s="1" t="s">
        <v>1423</v>
      </c>
      <c r="DM4" s="1" t="s">
        <v>1422</v>
      </c>
      <c r="DN4" s="1" t="s">
        <v>1421</v>
      </c>
      <c r="DO4" s="1" t="s">
        <v>1420</v>
      </c>
      <c r="DP4" s="1" t="s">
        <v>1419</v>
      </c>
      <c r="DQ4" s="1" t="s">
        <v>1418</v>
      </c>
      <c r="DR4" s="1" t="s">
        <v>1417</v>
      </c>
      <c r="DS4" s="1" t="s">
        <v>1416</v>
      </c>
      <c r="DT4" s="1" t="s">
        <v>1415</v>
      </c>
      <c r="DU4" s="1" t="s">
        <v>1414</v>
      </c>
      <c r="DV4" s="1" t="s">
        <v>1413</v>
      </c>
      <c r="DW4" s="1" t="s">
        <v>1412</v>
      </c>
      <c r="DX4" s="1" t="s">
        <v>1411</v>
      </c>
      <c r="DY4" s="1" t="s">
        <v>1410</v>
      </c>
      <c r="DZ4" s="1" t="s">
        <v>1409</v>
      </c>
      <c r="EA4" s="1" t="s">
        <v>1408</v>
      </c>
      <c r="EB4" s="1" t="s">
        <v>1407</v>
      </c>
      <c r="EC4" s="1" t="s">
        <v>1406</v>
      </c>
      <c r="ED4" s="1" t="s">
        <v>1405</v>
      </c>
      <c r="EE4" s="1" t="s">
        <v>1404</v>
      </c>
      <c r="EF4" s="1" t="s">
        <v>1403</v>
      </c>
      <c r="EG4" s="1" t="s">
        <v>1402</v>
      </c>
      <c r="EH4" s="1" t="s">
        <v>1401</v>
      </c>
      <c r="EI4" s="1" t="s">
        <v>1400</v>
      </c>
      <c r="EJ4" s="1" t="s">
        <v>1399</v>
      </c>
      <c r="EK4" s="1" t="s">
        <v>1398</v>
      </c>
      <c r="EL4" s="1" t="s">
        <v>1397</v>
      </c>
      <c r="EM4" s="1" t="s">
        <v>1396</v>
      </c>
      <c r="EN4" s="1" t="s">
        <v>1395</v>
      </c>
      <c r="EO4" s="1" t="s">
        <v>1394</v>
      </c>
      <c r="EP4" s="1" t="s">
        <v>1393</v>
      </c>
      <c r="EQ4" s="1" t="s">
        <v>1392</v>
      </c>
      <c r="ER4" s="1" t="s">
        <v>1391</v>
      </c>
      <c r="ES4" s="1" t="s">
        <v>1390</v>
      </c>
      <c r="ET4" s="1" t="s">
        <v>1389</v>
      </c>
      <c r="EU4" s="1" t="s">
        <v>1388</v>
      </c>
      <c r="EV4" s="1" t="s">
        <v>1387</v>
      </c>
      <c r="EW4" s="1" t="s">
        <v>1386</v>
      </c>
      <c r="EX4" s="1" t="s">
        <v>1385</v>
      </c>
      <c r="EY4" s="1" t="s">
        <v>1384</v>
      </c>
      <c r="EZ4" s="1" t="s">
        <v>1383</v>
      </c>
      <c r="FA4" s="1" t="s">
        <v>1382</v>
      </c>
      <c r="FB4" s="1" t="s">
        <v>1381</v>
      </c>
      <c r="FC4" s="1" t="s">
        <v>1380</v>
      </c>
      <c r="FD4" s="1" t="s">
        <v>1379</v>
      </c>
      <c r="FE4" s="1" t="s">
        <v>1378</v>
      </c>
      <c r="FF4" s="1" t="s">
        <v>1377</v>
      </c>
      <c r="FG4" s="1" t="s">
        <v>1376</v>
      </c>
      <c r="FH4" s="1" t="s">
        <v>1375</v>
      </c>
      <c r="FI4" s="1" t="s">
        <v>1374</v>
      </c>
      <c r="FJ4" s="1" t="s">
        <v>1373</v>
      </c>
      <c r="FK4" s="1" t="s">
        <v>1372</v>
      </c>
      <c r="FL4" s="1" t="s">
        <v>1371</v>
      </c>
      <c r="FM4" s="1" t="s">
        <v>1370</v>
      </c>
      <c r="FN4" s="1" t="s">
        <v>1369</v>
      </c>
      <c r="FO4" s="1" t="s">
        <v>1368</v>
      </c>
      <c r="FP4" s="1" t="s">
        <v>1367</v>
      </c>
      <c r="FQ4" s="1" t="s">
        <v>1366</v>
      </c>
      <c r="FR4" s="1" t="s">
        <v>1365</v>
      </c>
      <c r="FS4" s="1" t="s">
        <v>1364</v>
      </c>
      <c r="FT4" s="1" t="s">
        <v>1363</v>
      </c>
      <c r="FU4" s="1" t="s">
        <v>1362</v>
      </c>
      <c r="FV4" s="1" t="s">
        <v>1361</v>
      </c>
      <c r="FW4" s="1" t="s">
        <v>1360</v>
      </c>
      <c r="FX4" s="1" t="s">
        <v>1359</v>
      </c>
      <c r="FY4" s="1" t="s">
        <v>1358</v>
      </c>
      <c r="FZ4" s="1" t="s">
        <v>1357</v>
      </c>
      <c r="GA4" s="1" t="s">
        <v>1356</v>
      </c>
      <c r="GB4" s="1" t="s">
        <v>1355</v>
      </c>
      <c r="GC4" s="1" t="s">
        <v>1354</v>
      </c>
      <c r="GD4" s="1" t="s">
        <v>1353</v>
      </c>
      <c r="GE4" s="1" t="s">
        <v>1352</v>
      </c>
      <c r="GF4" s="1" t="s">
        <v>1351</v>
      </c>
      <c r="GG4" s="1" t="s">
        <v>1350</v>
      </c>
      <c r="GH4" s="1" t="s">
        <v>1349</v>
      </c>
      <c r="GI4" s="1" t="s">
        <v>1348</v>
      </c>
      <c r="GJ4" s="1" t="s">
        <v>1347</v>
      </c>
      <c r="GK4" s="1" t="s">
        <v>1346</v>
      </c>
      <c r="GL4" s="1" t="s">
        <v>1345</v>
      </c>
      <c r="GM4" s="1" t="s">
        <v>1344</v>
      </c>
      <c r="GN4" s="1" t="s">
        <v>1343</v>
      </c>
      <c r="GO4" s="1" t="s">
        <v>1342</v>
      </c>
      <c r="GP4" s="1" t="s">
        <v>1341</v>
      </c>
      <c r="GQ4" s="1" t="s">
        <v>1340</v>
      </c>
      <c r="GR4" s="1" t="s">
        <v>1339</v>
      </c>
      <c r="GS4" s="1" t="s">
        <v>1338</v>
      </c>
      <c r="GT4" s="1" t="s">
        <v>1337</v>
      </c>
      <c r="GU4" s="1" t="s">
        <v>1336</v>
      </c>
      <c r="GV4" s="1" t="s">
        <v>1335</v>
      </c>
      <c r="GW4" s="1" t="s">
        <v>1334</v>
      </c>
      <c r="GX4" s="1" t="s">
        <v>1333</v>
      </c>
      <c r="GY4" s="1" t="s">
        <v>1332</v>
      </c>
      <c r="GZ4" s="1" t="s">
        <v>1331</v>
      </c>
      <c r="HA4" s="1" t="s">
        <v>1330</v>
      </c>
      <c r="HB4" s="1" t="s">
        <v>1329</v>
      </c>
      <c r="HC4" s="1" t="s">
        <v>1328</v>
      </c>
      <c r="HD4" s="1" t="s">
        <v>1327</v>
      </c>
      <c r="HE4" s="1" t="s">
        <v>1326</v>
      </c>
      <c r="HF4" s="1" t="s">
        <v>1325</v>
      </c>
      <c r="HG4" s="1" t="s">
        <v>1324</v>
      </c>
      <c r="HH4" s="1" t="s">
        <v>1323</v>
      </c>
      <c r="HI4" s="1" t="s">
        <v>1322</v>
      </c>
      <c r="HJ4" s="1" t="s">
        <v>1321</v>
      </c>
      <c r="HK4" s="1" t="s">
        <v>1320</v>
      </c>
      <c r="HL4" s="1" t="s">
        <v>1319</v>
      </c>
      <c r="HM4" s="1" t="s">
        <v>1318</v>
      </c>
      <c r="HN4" s="1" t="s">
        <v>1317</v>
      </c>
      <c r="HO4" s="1" t="s">
        <v>1316</v>
      </c>
      <c r="HP4" s="1" t="s">
        <v>1315</v>
      </c>
      <c r="HQ4" s="1" t="s">
        <v>1314</v>
      </c>
      <c r="HR4" s="1" t="s">
        <v>1313</v>
      </c>
      <c r="HS4" s="1" t="s">
        <v>1312</v>
      </c>
      <c r="HT4" s="1" t="s">
        <v>1311</v>
      </c>
      <c r="HU4" s="1" t="s">
        <v>1310</v>
      </c>
      <c r="HV4" s="1" t="s">
        <v>1309</v>
      </c>
      <c r="HW4" s="1" t="s">
        <v>1308</v>
      </c>
      <c r="HX4" s="1" t="s">
        <v>1307</v>
      </c>
      <c r="HY4" s="1" t="s">
        <v>1306</v>
      </c>
      <c r="HZ4" s="1" t="s">
        <v>1305</v>
      </c>
      <c r="IA4" s="1" t="s">
        <v>1304</v>
      </c>
      <c r="IB4" s="1" t="s">
        <v>1303</v>
      </c>
      <c r="IC4" s="1" t="s">
        <v>1302</v>
      </c>
      <c r="ID4" s="1" t="s">
        <v>1301</v>
      </c>
      <c r="IE4" s="1" t="s">
        <v>1300</v>
      </c>
      <c r="IF4" s="1" t="s">
        <v>1299</v>
      </c>
    </row>
    <row r="5" spans="1:240" s="60" customFormat="1">
      <c r="A5" s="60" t="s">
        <v>954</v>
      </c>
      <c r="B5" s="60" t="s">
        <v>953</v>
      </c>
      <c r="C5" s="60" t="s">
        <v>952</v>
      </c>
      <c r="D5" s="60" t="s">
        <v>951</v>
      </c>
      <c r="E5" s="60" t="s">
        <v>950</v>
      </c>
      <c r="F5" s="60" t="s">
        <v>949</v>
      </c>
      <c r="G5" s="60" t="s">
        <v>948</v>
      </c>
      <c r="H5" s="60" t="s">
        <v>947</v>
      </c>
      <c r="I5" s="60" t="s">
        <v>946</v>
      </c>
      <c r="J5" s="60" t="s">
        <v>945</v>
      </c>
      <c r="K5" s="60" t="s">
        <v>944</v>
      </c>
      <c r="L5" s="60" t="s">
        <v>943</v>
      </c>
      <c r="M5" s="60" t="s">
        <v>942</v>
      </c>
      <c r="N5" s="60" t="s">
        <v>941</v>
      </c>
      <c r="O5" s="60" t="s">
        <v>940</v>
      </c>
      <c r="P5" s="60" t="s">
        <v>939</v>
      </c>
      <c r="Q5" s="60" t="s">
        <v>938</v>
      </c>
      <c r="R5" s="60" t="s">
        <v>937</v>
      </c>
      <c r="S5" s="60" t="s">
        <v>936</v>
      </c>
      <c r="T5" s="60" t="s">
        <v>935</v>
      </c>
      <c r="U5" s="60" t="s">
        <v>934</v>
      </c>
      <c r="V5" s="60" t="s">
        <v>933</v>
      </c>
      <c r="W5" s="60" t="s">
        <v>932</v>
      </c>
      <c r="X5" s="60" t="s">
        <v>931</v>
      </c>
      <c r="Y5" s="60" t="s">
        <v>930</v>
      </c>
      <c r="Z5" s="60" t="s">
        <v>929</v>
      </c>
      <c r="AA5" s="60" t="s">
        <v>928</v>
      </c>
      <c r="AB5" s="60" t="s">
        <v>927</v>
      </c>
      <c r="AC5" s="60" t="s">
        <v>926</v>
      </c>
      <c r="AD5" s="60" t="s">
        <v>925</v>
      </c>
      <c r="AE5" s="60" t="s">
        <v>924</v>
      </c>
      <c r="AF5" s="60" t="s">
        <v>923</v>
      </c>
      <c r="AG5" s="60" t="s">
        <v>922</v>
      </c>
      <c r="AH5" s="60" t="s">
        <v>921</v>
      </c>
      <c r="AI5" s="60" t="s">
        <v>920</v>
      </c>
      <c r="AJ5" s="60" t="s">
        <v>919</v>
      </c>
      <c r="AK5" s="60" t="s">
        <v>918</v>
      </c>
      <c r="AL5" s="60" t="s">
        <v>917</v>
      </c>
      <c r="AM5" s="60" t="s">
        <v>916</v>
      </c>
      <c r="AN5" s="60" t="s">
        <v>915</v>
      </c>
      <c r="AO5" s="60" t="s">
        <v>914</v>
      </c>
      <c r="AP5" s="60" t="s">
        <v>913</v>
      </c>
      <c r="AQ5" s="60" t="s">
        <v>912</v>
      </c>
      <c r="AR5" s="60" t="s">
        <v>911</v>
      </c>
      <c r="AS5" s="60" t="s">
        <v>910</v>
      </c>
      <c r="AT5" s="60" t="s">
        <v>909</v>
      </c>
      <c r="AU5" s="60" t="s">
        <v>908</v>
      </c>
      <c r="AV5" s="60" t="s">
        <v>907</v>
      </c>
      <c r="AW5" s="60" t="s">
        <v>906</v>
      </c>
      <c r="AX5" s="60" t="s">
        <v>905</v>
      </c>
      <c r="AY5" s="60" t="s">
        <v>904</v>
      </c>
      <c r="AZ5" s="60" t="s">
        <v>903</v>
      </c>
      <c r="BA5" s="60" t="s">
        <v>902</v>
      </c>
      <c r="BB5" s="60" t="s">
        <v>901</v>
      </c>
      <c r="BC5" s="60" t="s">
        <v>900</v>
      </c>
      <c r="BD5" s="60" t="s">
        <v>899</v>
      </c>
      <c r="BE5" s="60" t="s">
        <v>898</v>
      </c>
      <c r="BF5" s="60" t="s">
        <v>897</v>
      </c>
      <c r="BG5" s="60" t="s">
        <v>896</v>
      </c>
      <c r="BH5" s="60" t="s">
        <v>895</v>
      </c>
      <c r="BI5" s="60" t="s">
        <v>894</v>
      </c>
      <c r="BJ5" s="60" t="s">
        <v>893</v>
      </c>
      <c r="BK5" s="60" t="s">
        <v>892</v>
      </c>
      <c r="BL5" s="60" t="s">
        <v>891</v>
      </c>
      <c r="BM5" s="60" t="s">
        <v>890</v>
      </c>
      <c r="BN5" s="60" t="s">
        <v>889</v>
      </c>
      <c r="BO5" s="60" t="s">
        <v>888</v>
      </c>
      <c r="BP5" s="60" t="s">
        <v>887</v>
      </c>
      <c r="BQ5" s="60" t="s">
        <v>886</v>
      </c>
      <c r="BR5" s="60" t="s">
        <v>885</v>
      </c>
      <c r="BS5" s="60" t="s">
        <v>884</v>
      </c>
      <c r="BT5" s="60" t="s">
        <v>883</v>
      </c>
      <c r="BU5" s="60" t="s">
        <v>882</v>
      </c>
      <c r="BV5" s="60" t="s">
        <v>881</v>
      </c>
      <c r="BW5" s="60" t="s">
        <v>880</v>
      </c>
      <c r="BX5" s="60" t="s">
        <v>879</v>
      </c>
      <c r="BY5" s="60" t="s">
        <v>878</v>
      </c>
      <c r="BZ5" s="60" t="s">
        <v>877</v>
      </c>
      <c r="CA5" s="60" t="s">
        <v>876</v>
      </c>
      <c r="CB5" s="60" t="s">
        <v>875</v>
      </c>
      <c r="CC5" s="60" t="s">
        <v>874</v>
      </c>
      <c r="CD5" s="60" t="s">
        <v>873</v>
      </c>
      <c r="CE5" s="60" t="s">
        <v>872</v>
      </c>
      <c r="CF5" s="60" t="s">
        <v>871</v>
      </c>
      <c r="CG5" s="60" t="s">
        <v>870</v>
      </c>
      <c r="CH5" s="60" t="s">
        <v>869</v>
      </c>
      <c r="CI5" s="60" t="s">
        <v>868</v>
      </c>
      <c r="CJ5" s="60" t="s">
        <v>867</v>
      </c>
      <c r="CK5" s="60" t="s">
        <v>866</v>
      </c>
      <c r="CL5" s="60" t="s">
        <v>865</v>
      </c>
      <c r="CM5" s="60" t="s">
        <v>864</v>
      </c>
      <c r="CN5" s="60" t="s">
        <v>863</v>
      </c>
      <c r="CO5" s="60" t="s">
        <v>862</v>
      </c>
      <c r="CP5" s="60" t="s">
        <v>861</v>
      </c>
      <c r="CQ5" s="60" t="s">
        <v>860</v>
      </c>
      <c r="CR5" s="60" t="s">
        <v>859</v>
      </c>
      <c r="CS5" s="60" t="s">
        <v>858</v>
      </c>
      <c r="CT5" s="60" t="s">
        <v>857</v>
      </c>
      <c r="CU5" s="60" t="s">
        <v>856</v>
      </c>
      <c r="CV5" s="60" t="s">
        <v>855</v>
      </c>
      <c r="CW5" s="60" t="s">
        <v>854</v>
      </c>
      <c r="CX5" s="60" t="s">
        <v>853</v>
      </c>
      <c r="CY5" s="60" t="s">
        <v>852</v>
      </c>
      <c r="CZ5" s="60" t="s">
        <v>851</v>
      </c>
      <c r="DA5" s="60" t="s">
        <v>850</v>
      </c>
      <c r="DB5" s="60" t="s">
        <v>849</v>
      </c>
      <c r="DC5" s="60" t="s">
        <v>848</v>
      </c>
      <c r="DD5" s="60" t="s">
        <v>847</v>
      </c>
      <c r="DE5" s="60" t="s">
        <v>846</v>
      </c>
      <c r="DF5" s="60" t="s">
        <v>845</v>
      </c>
      <c r="DG5" s="60" t="s">
        <v>844</v>
      </c>
      <c r="DH5" s="60" t="s">
        <v>843</v>
      </c>
      <c r="DI5" s="60" t="s">
        <v>842</v>
      </c>
      <c r="DJ5" s="60" t="s">
        <v>841</v>
      </c>
      <c r="DK5" s="60" t="s">
        <v>840</v>
      </c>
      <c r="DL5" s="60" t="s">
        <v>839</v>
      </c>
      <c r="DM5" s="60" t="s">
        <v>838</v>
      </c>
      <c r="DN5" s="60" t="s">
        <v>837</v>
      </c>
      <c r="DO5" s="60" t="s">
        <v>836</v>
      </c>
      <c r="DP5" s="60" t="s">
        <v>835</v>
      </c>
      <c r="DQ5" s="60" t="s">
        <v>834</v>
      </c>
      <c r="DR5" s="60" t="s">
        <v>833</v>
      </c>
      <c r="DS5" s="60" t="s">
        <v>832</v>
      </c>
      <c r="DT5" s="60" t="s">
        <v>831</v>
      </c>
      <c r="DU5" s="60" t="s">
        <v>830</v>
      </c>
      <c r="DV5" s="60" t="s">
        <v>829</v>
      </c>
      <c r="DW5" s="60" t="s">
        <v>828</v>
      </c>
      <c r="DX5" s="60" t="s">
        <v>827</v>
      </c>
      <c r="DY5" s="60" t="s">
        <v>826</v>
      </c>
      <c r="DZ5" s="60" t="s">
        <v>825</v>
      </c>
      <c r="EA5" s="60" t="s">
        <v>824</v>
      </c>
      <c r="EB5" s="60" t="s">
        <v>823</v>
      </c>
      <c r="EC5" s="60" t="s">
        <v>822</v>
      </c>
      <c r="ED5" s="60" t="s">
        <v>821</v>
      </c>
      <c r="EE5" s="60" t="s">
        <v>820</v>
      </c>
      <c r="EF5" s="60" t="s">
        <v>819</v>
      </c>
      <c r="EG5" s="60" t="s">
        <v>818</v>
      </c>
      <c r="EH5" s="60" t="s">
        <v>817</v>
      </c>
      <c r="EI5" s="60" t="s">
        <v>816</v>
      </c>
      <c r="EJ5" s="60" t="s">
        <v>815</v>
      </c>
      <c r="EK5" s="60" t="s">
        <v>814</v>
      </c>
      <c r="EL5" s="60" t="s">
        <v>813</v>
      </c>
      <c r="EM5" s="60" t="s">
        <v>812</v>
      </c>
      <c r="EN5" s="60" t="s">
        <v>811</v>
      </c>
      <c r="EO5" s="60" t="s">
        <v>810</v>
      </c>
      <c r="EP5" s="60" t="s">
        <v>809</v>
      </c>
      <c r="EQ5" s="60" t="s">
        <v>808</v>
      </c>
      <c r="ER5" s="60" t="s">
        <v>807</v>
      </c>
      <c r="ES5" s="60" t="s">
        <v>806</v>
      </c>
      <c r="ET5" s="60" t="s">
        <v>805</v>
      </c>
      <c r="EU5" s="60" t="s">
        <v>804</v>
      </c>
      <c r="EV5" s="60" t="s">
        <v>803</v>
      </c>
      <c r="EW5" s="60" t="s">
        <v>1298</v>
      </c>
      <c r="EX5" s="60" t="s">
        <v>1297</v>
      </c>
      <c r="EY5" s="60" t="s">
        <v>1296</v>
      </c>
      <c r="EZ5" s="60" t="s">
        <v>1295</v>
      </c>
      <c r="FA5" s="60" t="s">
        <v>1294</v>
      </c>
      <c r="FB5" s="60" t="s">
        <v>1293</v>
      </c>
      <c r="FC5" s="60" t="s">
        <v>1292</v>
      </c>
      <c r="FD5" s="60" t="s">
        <v>1291</v>
      </c>
      <c r="FE5" s="60" t="s">
        <v>1290</v>
      </c>
      <c r="FF5" s="60" t="s">
        <v>1289</v>
      </c>
      <c r="FG5" s="60" t="s">
        <v>1288</v>
      </c>
      <c r="FH5" s="60" t="s">
        <v>1287</v>
      </c>
      <c r="FI5" s="60" t="s">
        <v>1286</v>
      </c>
      <c r="FJ5" s="60" t="s">
        <v>1285</v>
      </c>
      <c r="FK5" s="60" t="s">
        <v>1284</v>
      </c>
      <c r="FL5" s="60" t="s">
        <v>1283</v>
      </c>
      <c r="FM5" s="60" t="s">
        <v>1282</v>
      </c>
      <c r="FN5" s="60" t="s">
        <v>1281</v>
      </c>
      <c r="FO5" s="60" t="s">
        <v>1280</v>
      </c>
      <c r="FP5" s="60" t="s">
        <v>1279</v>
      </c>
      <c r="FQ5" s="60" t="s">
        <v>1278</v>
      </c>
      <c r="FR5" s="60" t="s">
        <v>1277</v>
      </c>
      <c r="FS5" s="60" t="s">
        <v>1276</v>
      </c>
      <c r="FT5" s="60" t="s">
        <v>1275</v>
      </c>
      <c r="FU5" s="60" t="s">
        <v>1274</v>
      </c>
      <c r="FV5" s="60" t="s">
        <v>1273</v>
      </c>
      <c r="FW5" s="60" t="s">
        <v>1272</v>
      </c>
      <c r="FX5" s="60" t="s">
        <v>1271</v>
      </c>
      <c r="FY5" s="60" t="s">
        <v>1270</v>
      </c>
      <c r="FZ5" s="60" t="s">
        <v>1269</v>
      </c>
      <c r="GA5" s="60" t="s">
        <v>1268</v>
      </c>
      <c r="GB5" s="60" t="s">
        <v>1267</v>
      </c>
      <c r="GC5" s="60" t="s">
        <v>1266</v>
      </c>
      <c r="GD5" s="60" t="s">
        <v>1265</v>
      </c>
      <c r="GE5" s="60" t="s">
        <v>1264</v>
      </c>
      <c r="GF5" s="60" t="s">
        <v>1263</v>
      </c>
      <c r="GG5" s="60" t="s">
        <v>1262</v>
      </c>
      <c r="GH5" s="60" t="s">
        <v>1261</v>
      </c>
      <c r="GI5" s="60" t="s">
        <v>1260</v>
      </c>
      <c r="GJ5" s="60" t="s">
        <v>1259</v>
      </c>
      <c r="GK5" s="60" t="s">
        <v>1258</v>
      </c>
      <c r="GL5" s="60" t="s">
        <v>1257</v>
      </c>
      <c r="GM5" s="60" t="s">
        <v>1256</v>
      </c>
      <c r="GN5" s="60" t="s">
        <v>1255</v>
      </c>
      <c r="GO5" s="60" t="s">
        <v>1254</v>
      </c>
      <c r="GP5" s="60" t="s">
        <v>1253</v>
      </c>
      <c r="GQ5" s="60" t="s">
        <v>1252</v>
      </c>
      <c r="GR5" s="60" t="s">
        <v>1251</v>
      </c>
      <c r="GS5" s="60" t="s">
        <v>1250</v>
      </c>
      <c r="GT5" s="60" t="s">
        <v>1249</v>
      </c>
      <c r="GU5" s="60" t="s">
        <v>1248</v>
      </c>
      <c r="GV5" s="60" t="s">
        <v>1247</v>
      </c>
      <c r="GW5" s="60" t="s">
        <v>1246</v>
      </c>
      <c r="GX5" s="60" t="s">
        <v>1245</v>
      </c>
      <c r="GY5" s="60" t="s">
        <v>1244</v>
      </c>
      <c r="GZ5" s="60" t="s">
        <v>1243</v>
      </c>
      <c r="HA5" s="60" t="s">
        <v>1242</v>
      </c>
      <c r="HB5" s="60" t="s">
        <v>1241</v>
      </c>
      <c r="HC5" s="60" t="s">
        <v>1240</v>
      </c>
      <c r="HD5" s="60" t="s">
        <v>1239</v>
      </c>
      <c r="HE5" s="60" t="s">
        <v>1238</v>
      </c>
      <c r="HF5" s="60" t="s">
        <v>1237</v>
      </c>
      <c r="HG5" s="60" t="s">
        <v>1236</v>
      </c>
      <c r="HH5" s="60" t="s">
        <v>1235</v>
      </c>
      <c r="HI5" s="60" t="s">
        <v>1234</v>
      </c>
      <c r="HJ5" s="60" t="s">
        <v>1233</v>
      </c>
      <c r="HK5" s="60" t="s">
        <v>1232</v>
      </c>
      <c r="HL5" s="60" t="s">
        <v>1231</v>
      </c>
      <c r="HM5" s="60" t="s">
        <v>1230</v>
      </c>
      <c r="HN5" s="60" t="s">
        <v>1229</v>
      </c>
      <c r="HO5" s="60" t="s">
        <v>1228</v>
      </c>
      <c r="HP5" s="60" t="s">
        <v>1227</v>
      </c>
      <c r="HQ5" s="60" t="s">
        <v>1226</v>
      </c>
      <c r="HR5" s="60" t="s">
        <v>1225</v>
      </c>
      <c r="HS5" s="60" t="s">
        <v>1224</v>
      </c>
      <c r="HT5" s="60" t="s">
        <v>1223</v>
      </c>
      <c r="HU5" s="60" t="s">
        <v>1222</v>
      </c>
      <c r="HV5" s="60" t="s">
        <v>1221</v>
      </c>
      <c r="HW5" s="60" t="s">
        <v>1220</v>
      </c>
      <c r="HX5" s="60" t="s">
        <v>1219</v>
      </c>
      <c r="HY5" s="60" t="s">
        <v>1218</v>
      </c>
      <c r="HZ5" s="60" t="s">
        <v>1217</v>
      </c>
      <c r="IA5" s="60" t="s">
        <v>1216</v>
      </c>
      <c r="IB5" s="60" t="s">
        <v>1215</v>
      </c>
      <c r="IC5" s="60" t="s">
        <v>1214</v>
      </c>
      <c r="ID5" s="60" t="s">
        <v>1213</v>
      </c>
      <c r="IE5" s="60" t="s">
        <v>1212</v>
      </c>
      <c r="IF5" s="60" t="s">
        <v>1211</v>
      </c>
    </row>
    <row r="6" spans="1:240">
      <c r="A6" s="1" t="s">
        <v>731</v>
      </c>
      <c r="B6" s="1" t="s">
        <v>802</v>
      </c>
      <c r="C6" s="1" t="s">
        <v>788</v>
      </c>
      <c r="D6" s="1" t="s">
        <v>685</v>
      </c>
      <c r="E6" s="1" t="s">
        <v>685</v>
      </c>
      <c r="F6" s="1" t="s">
        <v>3030</v>
      </c>
      <c r="G6" s="77">
        <f t="shared" ref="G6:G21" si="0">SUM(H6:IF6)</f>
        <v>52597</v>
      </c>
      <c r="H6" s="1">
        <v>16692</v>
      </c>
      <c r="I6" s="1">
        <v>287</v>
      </c>
      <c r="J6" s="1">
        <v>0</v>
      </c>
      <c r="K6" s="1">
        <v>0</v>
      </c>
      <c r="L6" s="1">
        <v>13346</v>
      </c>
      <c r="M6" s="1">
        <v>0</v>
      </c>
      <c r="N6" s="1">
        <v>0</v>
      </c>
      <c r="O6" s="1">
        <v>0</v>
      </c>
      <c r="P6" s="1">
        <v>5291</v>
      </c>
      <c r="Q6" s="1">
        <v>4845</v>
      </c>
      <c r="R6" s="1">
        <v>4397</v>
      </c>
      <c r="S6" s="1">
        <v>0</v>
      </c>
      <c r="T6" s="1">
        <v>0</v>
      </c>
      <c r="U6" s="1">
        <v>82</v>
      </c>
      <c r="V6" s="1">
        <v>2728</v>
      </c>
      <c r="W6" s="1">
        <v>1981</v>
      </c>
      <c r="X6" s="1">
        <v>0</v>
      </c>
      <c r="Y6" s="1">
        <v>465</v>
      </c>
      <c r="Z6" s="1">
        <v>554</v>
      </c>
      <c r="AA6" s="1">
        <v>0</v>
      </c>
      <c r="AB6" s="1">
        <v>618</v>
      </c>
      <c r="AC6" s="1">
        <v>487</v>
      </c>
      <c r="AD6" s="1">
        <v>249</v>
      </c>
      <c r="AE6" s="1">
        <v>0</v>
      </c>
      <c r="AF6" s="1">
        <v>0</v>
      </c>
      <c r="AG6" s="1">
        <v>6</v>
      </c>
      <c r="AH6" s="1">
        <v>0</v>
      </c>
      <c r="AI6" s="1">
        <v>0</v>
      </c>
      <c r="AJ6" s="1">
        <v>79</v>
      </c>
      <c r="AK6" s="1">
        <v>14</v>
      </c>
      <c r="AL6" s="1">
        <v>0</v>
      </c>
      <c r="AM6" s="1">
        <v>12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35</v>
      </c>
      <c r="AT6" s="1">
        <v>0</v>
      </c>
      <c r="AU6" s="1">
        <v>0</v>
      </c>
      <c r="AV6" s="1">
        <v>10</v>
      </c>
      <c r="AW6" s="1">
        <v>1</v>
      </c>
      <c r="AX6" s="1">
        <v>0</v>
      </c>
      <c r="AY6" s="1">
        <v>10</v>
      </c>
      <c r="AZ6" s="1">
        <v>0</v>
      </c>
      <c r="BA6" s="1">
        <v>14</v>
      </c>
      <c r="BB6" s="1">
        <v>3</v>
      </c>
      <c r="BC6" s="1">
        <v>0</v>
      </c>
      <c r="BD6" s="1">
        <v>4</v>
      </c>
      <c r="BE6" s="1">
        <v>10</v>
      </c>
      <c r="BF6" s="1">
        <v>15</v>
      </c>
      <c r="BG6" s="1">
        <v>17</v>
      </c>
      <c r="BH6" s="1">
        <v>3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16</v>
      </c>
      <c r="BO6" s="1">
        <v>15</v>
      </c>
      <c r="BP6" s="1">
        <v>0</v>
      </c>
      <c r="BQ6" s="1">
        <v>0</v>
      </c>
      <c r="BR6" s="1">
        <v>0</v>
      </c>
      <c r="BS6" s="1">
        <v>8</v>
      </c>
      <c r="BT6" s="1">
        <v>0</v>
      </c>
      <c r="BU6" s="1">
        <v>4</v>
      </c>
      <c r="BV6" s="1">
        <v>0</v>
      </c>
      <c r="BW6" s="1">
        <v>11</v>
      </c>
      <c r="BX6" s="1">
        <v>0</v>
      </c>
      <c r="BY6" s="1">
        <v>10</v>
      </c>
      <c r="BZ6" s="1">
        <v>9</v>
      </c>
      <c r="CA6" s="1">
        <v>6</v>
      </c>
      <c r="CB6" s="1">
        <v>17</v>
      </c>
      <c r="CC6" s="1">
        <v>5</v>
      </c>
      <c r="CD6" s="1">
        <v>6</v>
      </c>
      <c r="CE6" s="1">
        <v>4</v>
      </c>
      <c r="CF6" s="1">
        <v>0</v>
      </c>
      <c r="CG6" s="1">
        <v>0</v>
      </c>
      <c r="CH6" s="1">
        <v>0</v>
      </c>
      <c r="CI6" s="1">
        <v>2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15</v>
      </c>
      <c r="CP6" s="1">
        <v>8</v>
      </c>
      <c r="CQ6" s="1">
        <v>9</v>
      </c>
      <c r="CR6" s="1">
        <v>0</v>
      </c>
      <c r="CS6" s="1">
        <v>10</v>
      </c>
      <c r="CT6" s="1">
        <v>0</v>
      </c>
      <c r="CU6" s="1">
        <v>2</v>
      </c>
      <c r="CV6" s="1">
        <v>2</v>
      </c>
      <c r="CW6" s="1">
        <v>1</v>
      </c>
      <c r="CX6" s="1">
        <v>0</v>
      </c>
      <c r="CY6" s="1">
        <v>0</v>
      </c>
      <c r="CZ6" s="1">
        <v>0</v>
      </c>
      <c r="DA6" s="1">
        <v>1</v>
      </c>
      <c r="DB6" s="1">
        <v>0</v>
      </c>
      <c r="DC6" s="1">
        <v>0</v>
      </c>
      <c r="DD6" s="1">
        <v>9</v>
      </c>
      <c r="DE6" s="1">
        <v>0</v>
      </c>
      <c r="DF6" s="1">
        <v>0</v>
      </c>
      <c r="DG6" s="1">
        <v>3</v>
      </c>
      <c r="DH6" s="1">
        <v>2</v>
      </c>
      <c r="DI6" s="1">
        <v>4</v>
      </c>
      <c r="DJ6" s="1">
        <v>0</v>
      </c>
      <c r="DK6" s="1">
        <v>8</v>
      </c>
      <c r="DL6" s="1">
        <v>0</v>
      </c>
      <c r="DM6" s="1">
        <v>0</v>
      </c>
      <c r="DN6" s="1">
        <v>1</v>
      </c>
      <c r="DO6" s="1">
        <v>10</v>
      </c>
      <c r="DP6" s="1">
        <v>4</v>
      </c>
      <c r="DQ6" s="1">
        <v>0</v>
      </c>
      <c r="DR6" s="1">
        <v>8</v>
      </c>
      <c r="DS6" s="1">
        <v>0</v>
      </c>
      <c r="DT6" s="1">
        <v>0</v>
      </c>
      <c r="DU6" s="1">
        <v>0</v>
      </c>
      <c r="DV6" s="1">
        <v>5</v>
      </c>
      <c r="DW6" s="1">
        <v>6</v>
      </c>
      <c r="DX6" s="1">
        <v>0</v>
      </c>
      <c r="DY6" s="1">
        <v>0</v>
      </c>
      <c r="DZ6" s="1">
        <v>2</v>
      </c>
      <c r="EA6" s="1">
        <v>4</v>
      </c>
      <c r="EB6" s="1">
        <v>11</v>
      </c>
      <c r="EC6" s="1">
        <v>0</v>
      </c>
      <c r="ED6" s="1">
        <v>0</v>
      </c>
      <c r="EE6" s="1">
        <v>0</v>
      </c>
      <c r="EF6" s="1">
        <v>5</v>
      </c>
      <c r="EG6" s="1">
        <v>0</v>
      </c>
      <c r="EH6" s="1">
        <v>0</v>
      </c>
      <c r="EI6" s="1">
        <v>4</v>
      </c>
      <c r="EJ6" s="1">
        <v>3</v>
      </c>
      <c r="EK6" s="1">
        <v>2</v>
      </c>
      <c r="EL6" s="1">
        <v>0</v>
      </c>
      <c r="EM6" s="1">
        <v>0</v>
      </c>
      <c r="EN6" s="1">
        <v>1</v>
      </c>
      <c r="EO6" s="1">
        <v>1</v>
      </c>
      <c r="EP6" s="1">
        <v>0</v>
      </c>
      <c r="EQ6" s="1">
        <v>0</v>
      </c>
      <c r="ER6" s="1">
        <v>0</v>
      </c>
      <c r="ES6" s="1">
        <v>2</v>
      </c>
      <c r="ET6" s="1">
        <v>1</v>
      </c>
      <c r="EU6" s="1">
        <v>1</v>
      </c>
      <c r="EV6" s="1">
        <v>0</v>
      </c>
      <c r="EW6" s="1">
        <v>3</v>
      </c>
      <c r="EX6" s="1">
        <v>2</v>
      </c>
      <c r="EY6" s="1">
        <v>3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3</v>
      </c>
      <c r="FF6" s="1">
        <v>2</v>
      </c>
      <c r="FG6" s="1">
        <v>0</v>
      </c>
      <c r="FH6" s="1">
        <v>0</v>
      </c>
      <c r="FI6" s="1">
        <v>1</v>
      </c>
      <c r="FJ6" s="1">
        <v>0</v>
      </c>
      <c r="FK6" s="1">
        <v>8</v>
      </c>
      <c r="FL6" s="1">
        <v>1</v>
      </c>
      <c r="FM6" s="1">
        <v>0</v>
      </c>
      <c r="FN6" s="1">
        <v>3</v>
      </c>
      <c r="FO6" s="1">
        <v>0</v>
      </c>
      <c r="FP6" s="1">
        <v>0</v>
      </c>
      <c r="FQ6" s="1">
        <v>2</v>
      </c>
      <c r="FR6" s="1">
        <v>0</v>
      </c>
      <c r="FS6" s="1">
        <v>0</v>
      </c>
      <c r="FT6" s="1">
        <v>0</v>
      </c>
      <c r="FU6" s="1">
        <v>5</v>
      </c>
      <c r="FV6" s="1">
        <v>0</v>
      </c>
      <c r="FW6" s="1">
        <v>1</v>
      </c>
      <c r="FX6" s="1">
        <v>0</v>
      </c>
      <c r="FY6" s="1">
        <v>0</v>
      </c>
      <c r="FZ6" s="1">
        <v>0</v>
      </c>
      <c r="GA6" s="1">
        <v>4</v>
      </c>
      <c r="GB6" s="1">
        <v>0</v>
      </c>
      <c r="GC6" s="1">
        <v>2</v>
      </c>
      <c r="GD6" s="1">
        <v>0</v>
      </c>
      <c r="GE6" s="1">
        <v>1</v>
      </c>
      <c r="GF6" s="1">
        <v>0</v>
      </c>
      <c r="GG6" s="1">
        <v>0</v>
      </c>
      <c r="GH6" s="1">
        <v>0</v>
      </c>
      <c r="GI6" s="1">
        <v>2</v>
      </c>
      <c r="GJ6" s="1">
        <v>0</v>
      </c>
      <c r="GK6" s="1">
        <v>0</v>
      </c>
      <c r="GL6" s="1">
        <v>0</v>
      </c>
      <c r="GM6" s="1">
        <v>5</v>
      </c>
      <c r="GN6" s="1">
        <v>0</v>
      </c>
      <c r="GO6" s="1">
        <v>0</v>
      </c>
      <c r="GP6" s="1">
        <v>0</v>
      </c>
      <c r="GQ6" s="1">
        <v>4</v>
      </c>
      <c r="GR6" s="1">
        <v>2</v>
      </c>
      <c r="GS6" s="1">
        <v>1</v>
      </c>
      <c r="GT6" s="1">
        <v>0</v>
      </c>
      <c r="GU6" s="1">
        <v>0</v>
      </c>
      <c r="GV6" s="1">
        <v>0</v>
      </c>
      <c r="GW6" s="1">
        <v>0</v>
      </c>
      <c r="GX6" s="1">
        <v>2</v>
      </c>
      <c r="GY6" s="1">
        <v>3</v>
      </c>
      <c r="GZ6" s="1">
        <v>3</v>
      </c>
      <c r="HA6" s="1">
        <v>3</v>
      </c>
      <c r="HB6" s="1">
        <v>3</v>
      </c>
      <c r="HC6" s="1">
        <v>3</v>
      </c>
      <c r="HD6" s="1">
        <v>2</v>
      </c>
      <c r="HE6" s="1">
        <v>0</v>
      </c>
      <c r="HF6" s="1">
        <v>0</v>
      </c>
      <c r="HG6" s="1">
        <v>3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1</v>
      </c>
      <c r="HN6" s="1">
        <v>2</v>
      </c>
      <c r="HO6" s="1">
        <v>0</v>
      </c>
      <c r="HP6" s="1">
        <v>2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1</v>
      </c>
      <c r="ID6" s="1">
        <v>1</v>
      </c>
      <c r="IE6" s="1">
        <v>0</v>
      </c>
      <c r="IF6" s="1">
        <v>0</v>
      </c>
    </row>
    <row r="7" spans="1:240">
      <c r="A7" s="1" t="s">
        <v>730</v>
      </c>
      <c r="B7" s="1" t="s">
        <v>801</v>
      </c>
      <c r="C7" s="1" t="s">
        <v>788</v>
      </c>
      <c r="D7" s="1" t="s">
        <v>685</v>
      </c>
      <c r="E7" s="1" t="s">
        <v>685</v>
      </c>
      <c r="F7" s="1" t="s">
        <v>3030</v>
      </c>
      <c r="G7" s="77">
        <f t="shared" si="0"/>
        <v>69981</v>
      </c>
      <c r="H7" s="1">
        <v>403</v>
      </c>
      <c r="I7" s="1">
        <v>62368</v>
      </c>
      <c r="J7" s="1">
        <v>0</v>
      </c>
      <c r="K7" s="1">
        <v>2</v>
      </c>
      <c r="L7" s="1">
        <v>684</v>
      </c>
      <c r="M7" s="1">
        <v>0</v>
      </c>
      <c r="N7" s="1">
        <v>0</v>
      </c>
      <c r="O7" s="1">
        <v>0</v>
      </c>
      <c r="P7" s="1">
        <v>15</v>
      </c>
      <c r="Q7" s="1">
        <v>44</v>
      </c>
      <c r="R7" s="1">
        <v>18</v>
      </c>
      <c r="S7" s="1">
        <v>0</v>
      </c>
      <c r="T7" s="1">
        <v>0</v>
      </c>
      <c r="U7" s="1">
        <v>451</v>
      </c>
      <c r="V7" s="1">
        <v>13</v>
      </c>
      <c r="W7" s="1">
        <v>6</v>
      </c>
      <c r="X7" s="1">
        <v>0</v>
      </c>
      <c r="Y7" s="1">
        <v>2305</v>
      </c>
      <c r="Z7" s="1">
        <v>2053</v>
      </c>
      <c r="AA7" s="1">
        <v>15</v>
      </c>
      <c r="AB7" s="1">
        <v>0</v>
      </c>
      <c r="AC7" s="1">
        <v>48</v>
      </c>
      <c r="AD7" s="1">
        <v>613</v>
      </c>
      <c r="AE7" s="1">
        <v>0</v>
      </c>
      <c r="AF7" s="1">
        <v>0</v>
      </c>
      <c r="AG7" s="1">
        <v>287</v>
      </c>
      <c r="AH7" s="1">
        <v>0</v>
      </c>
      <c r="AI7" s="1">
        <v>0</v>
      </c>
      <c r="AJ7" s="1">
        <v>3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65</v>
      </c>
      <c r="AQ7" s="1">
        <v>0</v>
      </c>
      <c r="AR7" s="1">
        <v>0</v>
      </c>
      <c r="AS7" s="1">
        <v>1</v>
      </c>
      <c r="AT7" s="1">
        <v>0</v>
      </c>
      <c r="AU7" s="1">
        <v>0</v>
      </c>
      <c r="AV7" s="1">
        <v>4</v>
      </c>
      <c r="AW7" s="1">
        <v>15</v>
      </c>
      <c r="AX7" s="1">
        <v>0</v>
      </c>
      <c r="AY7" s="1">
        <v>66</v>
      </c>
      <c r="AZ7" s="1">
        <v>38</v>
      </c>
      <c r="BA7" s="1">
        <v>20</v>
      </c>
      <c r="BB7" s="1">
        <v>28</v>
      </c>
      <c r="BC7" s="1">
        <v>0</v>
      </c>
      <c r="BD7" s="1">
        <v>27</v>
      </c>
      <c r="BE7" s="1">
        <v>19</v>
      </c>
      <c r="BF7" s="1">
        <v>0</v>
      </c>
      <c r="BG7" s="1">
        <v>4</v>
      </c>
      <c r="BH7" s="1">
        <v>0</v>
      </c>
      <c r="BI7" s="1">
        <v>0</v>
      </c>
      <c r="BJ7" s="1">
        <v>0</v>
      </c>
      <c r="BK7" s="1">
        <v>20</v>
      </c>
      <c r="BL7" s="1">
        <v>10</v>
      </c>
      <c r="BM7" s="1">
        <v>0</v>
      </c>
      <c r="BN7" s="1">
        <v>0</v>
      </c>
      <c r="BO7" s="1">
        <v>0</v>
      </c>
      <c r="BP7" s="1">
        <v>37</v>
      </c>
      <c r="BQ7" s="1">
        <v>26</v>
      </c>
      <c r="BR7" s="1">
        <v>0</v>
      </c>
      <c r="BS7" s="1">
        <v>1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23</v>
      </c>
      <c r="CA7" s="1">
        <v>23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22</v>
      </c>
      <c r="CH7" s="1">
        <v>5</v>
      </c>
      <c r="CI7" s="1">
        <v>4</v>
      </c>
      <c r="CJ7" s="1">
        <v>0</v>
      </c>
      <c r="CK7" s="1">
        <v>0</v>
      </c>
      <c r="CL7" s="1">
        <v>0</v>
      </c>
      <c r="CM7" s="1">
        <v>0</v>
      </c>
      <c r="CN7" s="1">
        <v>21</v>
      </c>
      <c r="CO7" s="1">
        <v>0</v>
      </c>
      <c r="CP7" s="1">
        <v>18</v>
      </c>
      <c r="CQ7" s="1">
        <v>0</v>
      </c>
      <c r="CR7" s="1">
        <v>0</v>
      </c>
      <c r="CS7" s="1">
        <v>3</v>
      </c>
      <c r="CT7" s="1">
        <v>0</v>
      </c>
      <c r="CU7" s="1">
        <v>13</v>
      </c>
      <c r="CV7" s="1">
        <v>0</v>
      </c>
      <c r="CW7" s="1">
        <v>0</v>
      </c>
      <c r="CX7" s="1">
        <v>10</v>
      </c>
      <c r="CY7" s="1">
        <v>0</v>
      </c>
      <c r="CZ7" s="1">
        <v>2</v>
      </c>
      <c r="DA7" s="1">
        <v>2</v>
      </c>
      <c r="DB7" s="1">
        <v>0</v>
      </c>
      <c r="DC7" s="1">
        <v>0</v>
      </c>
      <c r="DD7" s="1">
        <v>2</v>
      </c>
      <c r="DE7" s="1">
        <v>0</v>
      </c>
      <c r="DF7" s="1">
        <v>0</v>
      </c>
      <c r="DG7" s="1">
        <v>0</v>
      </c>
      <c r="DH7" s="1">
        <v>18</v>
      </c>
      <c r="DI7" s="1">
        <v>7</v>
      </c>
      <c r="DJ7" s="1">
        <v>0</v>
      </c>
      <c r="DK7" s="1">
        <v>0</v>
      </c>
      <c r="DL7" s="1">
        <v>11</v>
      </c>
      <c r="DM7" s="1">
        <v>17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8</v>
      </c>
      <c r="ED7" s="1">
        <v>0</v>
      </c>
      <c r="EE7" s="1">
        <v>5</v>
      </c>
      <c r="EF7" s="1">
        <v>4</v>
      </c>
      <c r="EG7" s="1">
        <v>0</v>
      </c>
      <c r="EH7" s="1">
        <v>0</v>
      </c>
      <c r="EI7" s="1">
        <v>2</v>
      </c>
      <c r="EJ7" s="1">
        <v>7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3</v>
      </c>
      <c r="EU7" s="1">
        <v>1</v>
      </c>
      <c r="EV7" s="1">
        <v>0</v>
      </c>
      <c r="EW7" s="1">
        <v>0</v>
      </c>
      <c r="EX7" s="1">
        <v>5</v>
      </c>
      <c r="EY7" s="1">
        <v>0</v>
      </c>
      <c r="EZ7" s="1">
        <v>1</v>
      </c>
      <c r="FA7" s="1">
        <v>0</v>
      </c>
      <c r="FB7" s="1">
        <v>6</v>
      </c>
      <c r="FC7" s="1">
        <v>0</v>
      </c>
      <c r="FD7" s="1">
        <v>0</v>
      </c>
      <c r="FE7" s="1">
        <v>0</v>
      </c>
      <c r="FF7" s="1">
        <v>0</v>
      </c>
      <c r="FG7" s="1">
        <v>4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6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5</v>
      </c>
      <c r="FX7" s="1">
        <v>1</v>
      </c>
      <c r="FY7" s="1">
        <v>1</v>
      </c>
      <c r="FZ7" s="1">
        <v>2</v>
      </c>
      <c r="GA7" s="1">
        <v>0</v>
      </c>
      <c r="GB7" s="1">
        <v>0</v>
      </c>
      <c r="GC7" s="1">
        <v>4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1</v>
      </c>
      <c r="GJ7" s="1">
        <v>0</v>
      </c>
      <c r="GK7" s="1">
        <v>0</v>
      </c>
      <c r="GL7" s="1">
        <v>3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1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1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</row>
    <row r="8" spans="1:240">
      <c r="A8" s="1" t="s">
        <v>729</v>
      </c>
      <c r="B8" s="1" t="s">
        <v>800</v>
      </c>
      <c r="C8" s="1" t="s">
        <v>788</v>
      </c>
      <c r="D8" s="1" t="s">
        <v>685</v>
      </c>
      <c r="E8" s="1" t="s">
        <v>685</v>
      </c>
      <c r="F8" s="1" t="s">
        <v>3030</v>
      </c>
      <c r="G8" s="77">
        <f t="shared" si="0"/>
        <v>56826</v>
      </c>
      <c r="H8" s="1">
        <v>3267</v>
      </c>
      <c r="I8" s="1">
        <v>16</v>
      </c>
      <c r="J8" s="1">
        <v>0</v>
      </c>
      <c r="K8" s="1">
        <v>0</v>
      </c>
      <c r="L8" s="1">
        <v>39162</v>
      </c>
      <c r="M8" s="1">
        <v>0</v>
      </c>
      <c r="N8" s="1">
        <v>0</v>
      </c>
      <c r="O8" s="1">
        <v>0</v>
      </c>
      <c r="P8" s="1">
        <v>2715</v>
      </c>
      <c r="Q8" s="1">
        <v>4435</v>
      </c>
      <c r="R8" s="1">
        <v>2030</v>
      </c>
      <c r="S8" s="1">
        <v>0</v>
      </c>
      <c r="T8" s="1">
        <v>0</v>
      </c>
      <c r="U8" s="1">
        <v>2</v>
      </c>
      <c r="V8" s="1">
        <v>2688</v>
      </c>
      <c r="W8" s="1">
        <v>581</v>
      </c>
      <c r="X8" s="1">
        <v>0</v>
      </c>
      <c r="Y8" s="1">
        <v>85</v>
      </c>
      <c r="Z8" s="1">
        <v>248</v>
      </c>
      <c r="AA8" s="1">
        <v>0</v>
      </c>
      <c r="AB8" s="1">
        <v>981</v>
      </c>
      <c r="AC8" s="1">
        <v>211</v>
      </c>
      <c r="AD8" s="1">
        <v>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86</v>
      </c>
      <c r="AK8" s="1">
        <v>3</v>
      </c>
      <c r="AL8" s="1">
        <v>0</v>
      </c>
      <c r="AM8" s="1">
        <v>13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10</v>
      </c>
      <c r="AT8" s="1">
        <v>0</v>
      </c>
      <c r="AU8" s="1">
        <v>0</v>
      </c>
      <c r="AV8" s="1">
        <v>7</v>
      </c>
      <c r="AW8" s="1">
        <v>1</v>
      </c>
      <c r="AX8" s="1">
        <v>0</v>
      </c>
      <c r="AY8" s="1">
        <v>4</v>
      </c>
      <c r="AZ8" s="1">
        <v>0</v>
      </c>
      <c r="BA8" s="1">
        <v>11</v>
      </c>
      <c r="BB8" s="1">
        <v>1</v>
      </c>
      <c r="BC8" s="1">
        <v>0</v>
      </c>
      <c r="BD8" s="1">
        <v>6</v>
      </c>
      <c r="BE8" s="1">
        <v>2</v>
      </c>
      <c r="BF8" s="1">
        <v>3</v>
      </c>
      <c r="BG8" s="1">
        <v>52</v>
      </c>
      <c r="BH8" s="1">
        <v>2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19</v>
      </c>
      <c r="BO8" s="1">
        <v>11</v>
      </c>
      <c r="BP8" s="1">
        <v>0</v>
      </c>
      <c r="BQ8" s="1">
        <v>1</v>
      </c>
      <c r="BR8" s="1">
        <v>0</v>
      </c>
      <c r="BS8" s="1">
        <v>1</v>
      </c>
      <c r="BT8" s="1">
        <v>0</v>
      </c>
      <c r="BU8" s="1">
        <v>2</v>
      </c>
      <c r="BV8" s="1">
        <v>0</v>
      </c>
      <c r="BW8" s="1">
        <v>0</v>
      </c>
      <c r="BX8" s="1">
        <v>0</v>
      </c>
      <c r="BY8" s="1">
        <v>3</v>
      </c>
      <c r="BZ8" s="1">
        <v>3</v>
      </c>
      <c r="CA8" s="1">
        <v>0</v>
      </c>
      <c r="CB8" s="1">
        <v>4</v>
      </c>
      <c r="CC8" s="1">
        <v>1</v>
      </c>
      <c r="CD8" s="1">
        <v>1</v>
      </c>
      <c r="CE8" s="1">
        <v>6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9</v>
      </c>
      <c r="CP8" s="1">
        <v>1</v>
      </c>
      <c r="CQ8" s="1">
        <v>0</v>
      </c>
      <c r="CR8" s="1">
        <v>0</v>
      </c>
      <c r="CS8" s="1">
        <v>1</v>
      </c>
      <c r="CT8" s="1">
        <v>0</v>
      </c>
      <c r="CU8" s="1">
        <v>8</v>
      </c>
      <c r="CV8" s="1">
        <v>0</v>
      </c>
      <c r="CW8" s="1">
        <v>1</v>
      </c>
      <c r="CX8" s="1">
        <v>0</v>
      </c>
      <c r="CY8" s="1">
        <v>0</v>
      </c>
      <c r="CZ8" s="1">
        <v>0</v>
      </c>
      <c r="DA8" s="1">
        <v>3</v>
      </c>
      <c r="DB8" s="1">
        <v>0</v>
      </c>
      <c r="DC8" s="1">
        <v>0</v>
      </c>
      <c r="DD8" s="1">
        <v>18</v>
      </c>
      <c r="DE8" s="1">
        <v>2</v>
      </c>
      <c r="DF8" s="1">
        <v>0</v>
      </c>
      <c r="DG8" s="1">
        <v>0</v>
      </c>
      <c r="DH8" s="1">
        <v>2</v>
      </c>
      <c r="DI8" s="1">
        <v>2</v>
      </c>
      <c r="DJ8" s="1">
        <v>0</v>
      </c>
      <c r="DK8" s="1">
        <v>17</v>
      </c>
      <c r="DL8" s="1">
        <v>0</v>
      </c>
      <c r="DM8" s="1">
        <v>0</v>
      </c>
      <c r="DN8" s="1">
        <v>0</v>
      </c>
      <c r="DO8" s="1">
        <v>0</v>
      </c>
      <c r="DP8" s="1">
        <v>4</v>
      </c>
      <c r="DQ8" s="1">
        <v>0</v>
      </c>
      <c r="DR8" s="1">
        <v>1</v>
      </c>
      <c r="DS8" s="1">
        <v>0</v>
      </c>
      <c r="DT8" s="1">
        <v>0</v>
      </c>
      <c r="DU8" s="1">
        <v>2</v>
      </c>
      <c r="DV8" s="1">
        <v>8</v>
      </c>
      <c r="DW8" s="1">
        <v>2</v>
      </c>
      <c r="DX8" s="1">
        <v>0</v>
      </c>
      <c r="DY8" s="1">
        <v>0</v>
      </c>
      <c r="DZ8" s="1">
        <v>1</v>
      </c>
      <c r="EA8" s="1">
        <v>0</v>
      </c>
      <c r="EB8" s="1">
        <v>4</v>
      </c>
      <c r="EC8" s="1">
        <v>0</v>
      </c>
      <c r="ED8" s="1">
        <v>0</v>
      </c>
      <c r="EE8" s="1">
        <v>0</v>
      </c>
      <c r="EF8" s="1">
        <v>1</v>
      </c>
      <c r="EG8" s="1">
        <v>0</v>
      </c>
      <c r="EH8" s="1">
        <v>0</v>
      </c>
      <c r="EI8" s="1">
        <v>7</v>
      </c>
      <c r="EJ8" s="1">
        <v>0</v>
      </c>
      <c r="EK8" s="1">
        <v>0</v>
      </c>
      <c r="EL8" s="1">
        <v>0</v>
      </c>
      <c r="EM8" s="1">
        <v>0</v>
      </c>
      <c r="EN8" s="1">
        <v>1</v>
      </c>
      <c r="EO8" s="1">
        <v>0</v>
      </c>
      <c r="EP8" s="1">
        <v>0</v>
      </c>
      <c r="EQ8" s="1">
        <v>0</v>
      </c>
      <c r="ER8" s="1">
        <v>0</v>
      </c>
      <c r="ES8" s="1">
        <v>2</v>
      </c>
      <c r="ET8" s="1">
        <v>0</v>
      </c>
      <c r="EU8" s="1">
        <v>0</v>
      </c>
      <c r="EV8" s="1">
        <v>0</v>
      </c>
      <c r="EW8" s="1">
        <v>0</v>
      </c>
      <c r="EX8" s="1">
        <v>1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4</v>
      </c>
      <c r="FG8" s="1">
        <v>8</v>
      </c>
      <c r="FH8" s="1">
        <v>0</v>
      </c>
      <c r="FI8" s="1">
        <v>0</v>
      </c>
      <c r="FJ8" s="1">
        <v>0</v>
      </c>
      <c r="FK8" s="1">
        <v>2</v>
      </c>
      <c r="FL8" s="1">
        <v>0</v>
      </c>
      <c r="FM8" s="1">
        <v>1</v>
      </c>
      <c r="FN8" s="1">
        <v>7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1</v>
      </c>
      <c r="FV8" s="1">
        <v>0</v>
      </c>
      <c r="FW8" s="1">
        <v>1</v>
      </c>
      <c r="FX8" s="1">
        <v>1</v>
      </c>
      <c r="FY8" s="1">
        <v>2</v>
      </c>
      <c r="FZ8" s="1">
        <v>0</v>
      </c>
      <c r="GA8" s="1">
        <v>2</v>
      </c>
      <c r="GB8" s="1">
        <v>0</v>
      </c>
      <c r="GC8" s="1">
        <v>0</v>
      </c>
      <c r="GD8" s="1">
        <v>0</v>
      </c>
      <c r="GE8" s="1">
        <v>3</v>
      </c>
      <c r="GF8" s="1">
        <v>2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1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1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3</v>
      </c>
      <c r="HI8" s="1">
        <v>2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2</v>
      </c>
      <c r="HR8" s="1">
        <v>0</v>
      </c>
      <c r="HS8" s="1">
        <v>0</v>
      </c>
      <c r="HT8" s="1">
        <v>0</v>
      </c>
      <c r="HU8" s="1">
        <v>0</v>
      </c>
      <c r="HV8" s="1">
        <v>1</v>
      </c>
      <c r="HW8" s="1">
        <v>1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1</v>
      </c>
      <c r="IF8" s="1">
        <v>0</v>
      </c>
    </row>
    <row r="9" spans="1:240">
      <c r="A9" s="1" t="s">
        <v>728</v>
      </c>
      <c r="B9" s="1" t="s">
        <v>799</v>
      </c>
      <c r="C9" s="1" t="s">
        <v>788</v>
      </c>
      <c r="D9" s="1" t="s">
        <v>685</v>
      </c>
      <c r="E9" s="1" t="s">
        <v>685</v>
      </c>
      <c r="F9" s="1" t="s">
        <v>3030</v>
      </c>
      <c r="G9" s="77">
        <f t="shared" si="0"/>
        <v>60671</v>
      </c>
      <c r="H9" s="1">
        <v>45355</v>
      </c>
      <c r="I9" s="1">
        <v>7</v>
      </c>
      <c r="J9" s="1">
        <v>0</v>
      </c>
      <c r="K9" s="1">
        <v>0</v>
      </c>
      <c r="L9" s="1">
        <v>2425</v>
      </c>
      <c r="M9" s="1">
        <v>0</v>
      </c>
      <c r="N9" s="1">
        <v>0</v>
      </c>
      <c r="O9" s="1">
        <v>0</v>
      </c>
      <c r="P9" s="1">
        <v>3509</v>
      </c>
      <c r="Q9" s="1">
        <v>1891</v>
      </c>
      <c r="R9" s="1">
        <v>3191</v>
      </c>
      <c r="S9" s="1">
        <v>0</v>
      </c>
      <c r="T9" s="1">
        <v>3</v>
      </c>
      <c r="U9" s="1">
        <v>3</v>
      </c>
      <c r="V9" s="1">
        <v>1097</v>
      </c>
      <c r="W9" s="1">
        <v>2047</v>
      </c>
      <c r="X9" s="1">
        <v>0</v>
      </c>
      <c r="Y9" s="1">
        <v>5</v>
      </c>
      <c r="Z9" s="1">
        <v>8</v>
      </c>
      <c r="AA9" s="1">
        <v>0</v>
      </c>
      <c r="AB9" s="1">
        <v>105</v>
      </c>
      <c r="AC9" s="1">
        <v>450</v>
      </c>
      <c r="AD9" s="1">
        <v>12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19</v>
      </c>
      <c r="AK9" s="1">
        <v>10</v>
      </c>
      <c r="AL9" s="1">
        <v>0</v>
      </c>
      <c r="AM9" s="1">
        <v>12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40</v>
      </c>
      <c r="AT9" s="1">
        <v>0</v>
      </c>
      <c r="AU9" s="1">
        <v>0</v>
      </c>
      <c r="AV9" s="1">
        <v>15</v>
      </c>
      <c r="AW9" s="1">
        <v>8</v>
      </c>
      <c r="AX9" s="1">
        <v>0</v>
      </c>
      <c r="AY9" s="1">
        <v>3</v>
      </c>
      <c r="AZ9" s="1">
        <v>12</v>
      </c>
      <c r="BA9" s="1">
        <v>9</v>
      </c>
      <c r="BB9" s="1">
        <v>1</v>
      </c>
      <c r="BC9" s="1">
        <v>0</v>
      </c>
      <c r="BD9" s="1">
        <v>2</v>
      </c>
      <c r="BE9" s="1">
        <v>9</v>
      </c>
      <c r="BF9" s="1">
        <v>33</v>
      </c>
      <c r="BG9" s="1">
        <v>2</v>
      </c>
      <c r="BH9" s="1">
        <v>12</v>
      </c>
      <c r="BI9" s="1">
        <v>0</v>
      </c>
      <c r="BJ9" s="1">
        <v>0</v>
      </c>
      <c r="BK9" s="1">
        <v>4</v>
      </c>
      <c r="BL9" s="1">
        <v>4</v>
      </c>
      <c r="BM9" s="1">
        <v>3</v>
      </c>
      <c r="BN9" s="1">
        <v>5</v>
      </c>
      <c r="BO9" s="1">
        <v>22</v>
      </c>
      <c r="BP9" s="1">
        <v>0</v>
      </c>
      <c r="BQ9" s="1">
        <v>0</v>
      </c>
      <c r="BR9" s="1">
        <v>0</v>
      </c>
      <c r="BS9" s="1">
        <v>4</v>
      </c>
      <c r="BT9" s="1">
        <v>0</v>
      </c>
      <c r="BU9" s="1">
        <v>28</v>
      </c>
      <c r="BV9" s="1">
        <v>0</v>
      </c>
      <c r="BW9" s="1">
        <v>24</v>
      </c>
      <c r="BX9" s="1">
        <v>0</v>
      </c>
      <c r="BY9" s="1">
        <v>23</v>
      </c>
      <c r="BZ9" s="1">
        <v>4</v>
      </c>
      <c r="CA9" s="1">
        <v>0</v>
      </c>
      <c r="CB9" s="1">
        <v>11</v>
      </c>
      <c r="CC9" s="1">
        <v>21</v>
      </c>
      <c r="CD9" s="1">
        <v>18</v>
      </c>
      <c r="CE9" s="1">
        <v>22</v>
      </c>
      <c r="CF9" s="1">
        <v>0</v>
      </c>
      <c r="CG9" s="1">
        <v>0</v>
      </c>
      <c r="CH9" s="1">
        <v>0</v>
      </c>
      <c r="CI9" s="1">
        <v>4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10</v>
      </c>
      <c r="CP9" s="1">
        <v>1</v>
      </c>
      <c r="CQ9" s="1">
        <v>8</v>
      </c>
      <c r="CR9" s="1">
        <v>0</v>
      </c>
      <c r="CS9" s="1">
        <v>12</v>
      </c>
      <c r="CT9" s="1">
        <v>2</v>
      </c>
      <c r="CU9" s="1">
        <v>0</v>
      </c>
      <c r="CV9" s="1">
        <v>1</v>
      </c>
      <c r="CW9" s="1">
        <v>2</v>
      </c>
      <c r="CX9" s="1">
        <v>0</v>
      </c>
      <c r="CY9" s="1">
        <v>0</v>
      </c>
      <c r="CZ9" s="1">
        <v>1</v>
      </c>
      <c r="DA9" s="1">
        <v>4</v>
      </c>
      <c r="DB9" s="1">
        <v>1</v>
      </c>
      <c r="DC9" s="1">
        <v>0</v>
      </c>
      <c r="DD9" s="1">
        <v>0</v>
      </c>
      <c r="DE9" s="1">
        <v>3</v>
      </c>
      <c r="DF9" s="1">
        <v>0</v>
      </c>
      <c r="DG9" s="1">
        <v>17</v>
      </c>
      <c r="DH9" s="1">
        <v>0</v>
      </c>
      <c r="DI9" s="1">
        <v>4</v>
      </c>
      <c r="DJ9" s="1">
        <v>0</v>
      </c>
      <c r="DK9" s="1">
        <v>1</v>
      </c>
      <c r="DL9" s="1">
        <v>0</v>
      </c>
      <c r="DM9" s="1">
        <v>0</v>
      </c>
      <c r="DN9" s="1">
        <v>0</v>
      </c>
      <c r="DO9" s="1">
        <v>8</v>
      </c>
      <c r="DP9" s="1">
        <v>6</v>
      </c>
      <c r="DQ9" s="1">
        <v>0</v>
      </c>
      <c r="DR9" s="1">
        <v>7</v>
      </c>
      <c r="DS9" s="1">
        <v>0</v>
      </c>
      <c r="DT9" s="1">
        <v>0</v>
      </c>
      <c r="DU9" s="1">
        <v>1</v>
      </c>
      <c r="DV9" s="1">
        <v>6</v>
      </c>
      <c r="DW9" s="1">
        <v>2</v>
      </c>
      <c r="DX9" s="1">
        <v>0</v>
      </c>
      <c r="DY9" s="1">
        <v>0</v>
      </c>
      <c r="DZ9" s="1">
        <v>0</v>
      </c>
      <c r="EA9" s="1">
        <v>0</v>
      </c>
      <c r="EB9" s="1">
        <v>3</v>
      </c>
      <c r="EC9" s="1">
        <v>0</v>
      </c>
      <c r="ED9" s="1">
        <v>0</v>
      </c>
      <c r="EE9" s="1">
        <v>2</v>
      </c>
      <c r="EF9" s="1">
        <v>2</v>
      </c>
      <c r="EG9" s="1">
        <v>0</v>
      </c>
      <c r="EH9" s="1">
        <v>1</v>
      </c>
      <c r="EI9" s="1">
        <v>2</v>
      </c>
      <c r="EJ9" s="1">
        <v>0</v>
      </c>
      <c r="EK9" s="1">
        <v>8</v>
      </c>
      <c r="EL9" s="1">
        <v>0</v>
      </c>
      <c r="EM9" s="1">
        <v>2</v>
      </c>
      <c r="EN9" s="1">
        <v>8</v>
      </c>
      <c r="EO9" s="1">
        <v>6</v>
      </c>
      <c r="EP9" s="1">
        <v>0</v>
      </c>
      <c r="EQ9" s="1">
        <v>0</v>
      </c>
      <c r="ER9" s="1">
        <v>0</v>
      </c>
      <c r="ES9" s="1">
        <v>7</v>
      </c>
      <c r="ET9" s="1">
        <v>0</v>
      </c>
      <c r="EU9" s="1">
        <v>1</v>
      </c>
      <c r="EV9" s="1">
        <v>0</v>
      </c>
      <c r="EW9" s="1">
        <v>6</v>
      </c>
      <c r="EX9" s="1">
        <v>0</v>
      </c>
      <c r="EY9" s="1">
        <v>6</v>
      </c>
      <c r="EZ9" s="1">
        <v>0</v>
      </c>
      <c r="FA9" s="1">
        <v>0</v>
      </c>
      <c r="FB9" s="1">
        <v>0</v>
      </c>
      <c r="FC9" s="1">
        <v>2</v>
      </c>
      <c r="FD9" s="1">
        <v>0</v>
      </c>
      <c r="FE9" s="1">
        <v>2</v>
      </c>
      <c r="FF9" s="1">
        <v>2</v>
      </c>
      <c r="FG9" s="1">
        <v>0</v>
      </c>
      <c r="FH9" s="1">
        <v>0</v>
      </c>
      <c r="FI9" s="1">
        <v>7</v>
      </c>
      <c r="FJ9" s="1">
        <v>0</v>
      </c>
      <c r="FK9" s="1">
        <v>0</v>
      </c>
      <c r="FL9" s="1">
        <v>0</v>
      </c>
      <c r="FM9" s="1">
        <v>2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2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3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1</v>
      </c>
      <c r="HE9" s="1">
        <v>1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1</v>
      </c>
      <c r="HN9" s="1">
        <v>0</v>
      </c>
      <c r="HO9" s="1">
        <v>0</v>
      </c>
      <c r="HP9" s="1">
        <v>0</v>
      </c>
      <c r="HQ9" s="1">
        <v>0</v>
      </c>
      <c r="HR9" s="1">
        <v>2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1</v>
      </c>
      <c r="HY9" s="1">
        <v>0</v>
      </c>
      <c r="HZ9" s="1">
        <v>1</v>
      </c>
      <c r="IA9" s="1">
        <v>1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</row>
    <row r="10" spans="1:240">
      <c r="A10" s="1" t="s">
        <v>727</v>
      </c>
      <c r="B10" s="1" t="s">
        <v>798</v>
      </c>
      <c r="C10" s="1" t="s">
        <v>788</v>
      </c>
      <c r="D10" s="1" t="s">
        <v>685</v>
      </c>
      <c r="E10" s="1" t="s">
        <v>685</v>
      </c>
      <c r="F10" s="1" t="s">
        <v>3030</v>
      </c>
      <c r="G10" s="77">
        <f t="shared" si="0"/>
        <v>62657</v>
      </c>
      <c r="H10" s="1">
        <v>51877</v>
      </c>
      <c r="I10" s="1">
        <v>324</v>
      </c>
      <c r="J10" s="1">
        <v>2</v>
      </c>
      <c r="K10" s="1">
        <v>0</v>
      </c>
      <c r="L10" s="1">
        <v>1113</v>
      </c>
      <c r="M10" s="1">
        <v>0</v>
      </c>
      <c r="N10" s="1">
        <v>0</v>
      </c>
      <c r="O10" s="1">
        <v>0</v>
      </c>
      <c r="P10" s="1">
        <v>2299</v>
      </c>
      <c r="Q10" s="1">
        <v>1048</v>
      </c>
      <c r="R10" s="1">
        <v>1937</v>
      </c>
      <c r="S10" s="1">
        <v>0</v>
      </c>
      <c r="T10" s="1">
        <v>6</v>
      </c>
      <c r="U10" s="1">
        <v>126</v>
      </c>
      <c r="V10" s="1">
        <v>599</v>
      </c>
      <c r="W10" s="1">
        <v>1809</v>
      </c>
      <c r="X10" s="1">
        <v>0</v>
      </c>
      <c r="Y10" s="1">
        <v>95</v>
      </c>
      <c r="Z10" s="1">
        <v>86</v>
      </c>
      <c r="AA10" s="1">
        <v>0</v>
      </c>
      <c r="AB10" s="1">
        <v>31</v>
      </c>
      <c r="AC10" s="1">
        <v>508</v>
      </c>
      <c r="AD10" s="1">
        <v>334</v>
      </c>
      <c r="AE10" s="1">
        <v>0</v>
      </c>
      <c r="AF10" s="1">
        <v>0</v>
      </c>
      <c r="AG10" s="1">
        <v>7</v>
      </c>
      <c r="AH10" s="1">
        <v>0</v>
      </c>
      <c r="AI10" s="1">
        <v>0</v>
      </c>
      <c r="AJ10" s="1">
        <v>12</v>
      </c>
      <c r="AK10" s="1">
        <v>10</v>
      </c>
      <c r="AL10" s="1">
        <v>0</v>
      </c>
      <c r="AM10" s="1">
        <v>11</v>
      </c>
      <c r="AN10" s="1">
        <v>0</v>
      </c>
      <c r="AO10" s="1">
        <v>0</v>
      </c>
      <c r="AP10" s="1">
        <v>1</v>
      </c>
      <c r="AQ10" s="1">
        <v>0</v>
      </c>
      <c r="AR10" s="1">
        <v>0</v>
      </c>
      <c r="AS10" s="1">
        <v>35</v>
      </c>
      <c r="AT10" s="1">
        <v>0</v>
      </c>
      <c r="AU10" s="1">
        <v>0</v>
      </c>
      <c r="AV10" s="1">
        <v>21</v>
      </c>
      <c r="AW10" s="1">
        <v>6</v>
      </c>
      <c r="AX10" s="1">
        <v>0</v>
      </c>
      <c r="AY10" s="1">
        <v>0</v>
      </c>
      <c r="AZ10" s="1">
        <v>6</v>
      </c>
      <c r="BA10" s="1">
        <v>6</v>
      </c>
      <c r="BB10" s="1">
        <v>8</v>
      </c>
      <c r="BC10" s="1">
        <v>0</v>
      </c>
      <c r="BD10" s="1">
        <v>2</v>
      </c>
      <c r="BE10" s="1">
        <v>3</v>
      </c>
      <c r="BF10" s="1">
        <v>27</v>
      </c>
      <c r="BG10" s="1">
        <v>1</v>
      </c>
      <c r="BH10" s="1">
        <v>8</v>
      </c>
      <c r="BI10" s="1">
        <v>0</v>
      </c>
      <c r="BJ10" s="1">
        <v>0</v>
      </c>
      <c r="BK10" s="1">
        <v>1</v>
      </c>
      <c r="BL10" s="1">
        <v>1</v>
      </c>
      <c r="BM10" s="1">
        <v>4</v>
      </c>
      <c r="BN10" s="1">
        <v>18</v>
      </c>
      <c r="BO10" s="1">
        <v>9</v>
      </c>
      <c r="BP10" s="1">
        <v>3</v>
      </c>
      <c r="BQ10" s="1">
        <v>0</v>
      </c>
      <c r="BR10" s="1">
        <v>0</v>
      </c>
      <c r="BS10" s="1">
        <v>1</v>
      </c>
      <c r="BT10" s="1">
        <v>0</v>
      </c>
      <c r="BU10" s="1">
        <v>18</v>
      </c>
      <c r="BV10" s="1">
        <v>0</v>
      </c>
      <c r="BW10" s="1">
        <v>15</v>
      </c>
      <c r="BX10" s="1">
        <v>0</v>
      </c>
      <c r="BY10" s="1">
        <v>10</v>
      </c>
      <c r="BZ10" s="1">
        <v>7</v>
      </c>
      <c r="CA10" s="1">
        <v>1</v>
      </c>
      <c r="CB10" s="1">
        <v>11</v>
      </c>
      <c r="CC10" s="1">
        <v>17</v>
      </c>
      <c r="CD10" s="1">
        <v>18</v>
      </c>
      <c r="CE10" s="1">
        <v>9</v>
      </c>
      <c r="CF10" s="1">
        <v>0</v>
      </c>
      <c r="CG10" s="1">
        <v>0</v>
      </c>
      <c r="CH10" s="1">
        <v>0</v>
      </c>
      <c r="CI10" s="1">
        <v>2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2</v>
      </c>
      <c r="CP10" s="1">
        <v>2</v>
      </c>
      <c r="CQ10" s="1">
        <v>17</v>
      </c>
      <c r="CR10" s="1">
        <v>0</v>
      </c>
      <c r="CS10" s="1">
        <v>5</v>
      </c>
      <c r="CT10" s="1">
        <v>0</v>
      </c>
      <c r="CU10" s="1">
        <v>0</v>
      </c>
      <c r="CV10" s="1">
        <v>0</v>
      </c>
      <c r="CW10" s="1">
        <v>3</v>
      </c>
      <c r="CX10" s="1">
        <v>0</v>
      </c>
      <c r="CY10" s="1">
        <v>0</v>
      </c>
      <c r="CZ10" s="1">
        <v>0</v>
      </c>
      <c r="DA10" s="1">
        <v>3</v>
      </c>
      <c r="DB10" s="1">
        <v>0</v>
      </c>
      <c r="DC10" s="1">
        <v>0</v>
      </c>
      <c r="DD10" s="1">
        <v>0</v>
      </c>
      <c r="DE10" s="1">
        <v>1</v>
      </c>
      <c r="DF10" s="1">
        <v>0</v>
      </c>
      <c r="DG10" s="1">
        <v>8</v>
      </c>
      <c r="DH10" s="1">
        <v>0</v>
      </c>
      <c r="DI10" s="1">
        <v>1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6</v>
      </c>
      <c r="DP10" s="1">
        <v>0</v>
      </c>
      <c r="DQ10" s="1">
        <v>0</v>
      </c>
      <c r="DR10" s="1">
        <v>7</v>
      </c>
      <c r="DS10" s="1">
        <v>0</v>
      </c>
      <c r="DT10" s="1">
        <v>0</v>
      </c>
      <c r="DU10" s="1">
        <v>3</v>
      </c>
      <c r="DV10" s="1">
        <v>3</v>
      </c>
      <c r="DW10" s="1">
        <v>10</v>
      </c>
      <c r="DX10" s="1">
        <v>0</v>
      </c>
      <c r="DY10" s="1">
        <v>0</v>
      </c>
      <c r="DZ10" s="1">
        <v>0</v>
      </c>
      <c r="EA10" s="1">
        <v>2</v>
      </c>
      <c r="EB10" s="1">
        <v>1</v>
      </c>
      <c r="EC10" s="1">
        <v>2</v>
      </c>
      <c r="ED10" s="1">
        <v>0</v>
      </c>
      <c r="EE10" s="1">
        <v>3</v>
      </c>
      <c r="EF10" s="1">
        <v>0</v>
      </c>
      <c r="EG10" s="1">
        <v>0</v>
      </c>
      <c r="EH10" s="1">
        <v>0</v>
      </c>
      <c r="EI10" s="1">
        <v>3</v>
      </c>
      <c r="EJ10" s="1">
        <v>0</v>
      </c>
      <c r="EK10" s="1">
        <v>7</v>
      </c>
      <c r="EL10" s="1">
        <v>0</v>
      </c>
      <c r="EM10" s="1">
        <v>3</v>
      </c>
      <c r="EN10" s="1">
        <v>7</v>
      </c>
      <c r="EO10" s="1">
        <v>10</v>
      </c>
      <c r="EP10" s="1">
        <v>0</v>
      </c>
      <c r="EQ10" s="1">
        <v>0</v>
      </c>
      <c r="ER10" s="1">
        <v>0</v>
      </c>
      <c r="ES10" s="1">
        <v>4</v>
      </c>
      <c r="ET10" s="1">
        <v>0</v>
      </c>
      <c r="EU10" s="1">
        <v>1</v>
      </c>
      <c r="EV10" s="1">
        <v>0</v>
      </c>
      <c r="EW10" s="1">
        <v>5</v>
      </c>
      <c r="EX10" s="1">
        <v>0</v>
      </c>
      <c r="EY10" s="1">
        <v>4</v>
      </c>
      <c r="EZ10" s="1">
        <v>0</v>
      </c>
      <c r="FA10" s="1">
        <v>0</v>
      </c>
      <c r="FB10" s="1">
        <v>1</v>
      </c>
      <c r="FC10" s="1">
        <v>0</v>
      </c>
      <c r="FD10" s="1">
        <v>0</v>
      </c>
      <c r="FE10" s="1">
        <v>7</v>
      </c>
      <c r="FF10" s="1">
        <v>4</v>
      </c>
      <c r="FG10" s="1">
        <v>0</v>
      </c>
      <c r="FH10" s="1">
        <v>0</v>
      </c>
      <c r="FI10" s="1">
        <v>3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2</v>
      </c>
      <c r="FP10" s="1">
        <v>2</v>
      </c>
      <c r="FQ10" s="1">
        <v>0</v>
      </c>
      <c r="FR10" s="1">
        <v>0</v>
      </c>
      <c r="FS10" s="1">
        <v>0</v>
      </c>
      <c r="FT10" s="1">
        <v>0</v>
      </c>
      <c r="FU10" s="1">
        <v>2</v>
      </c>
      <c r="FV10" s="1">
        <v>0</v>
      </c>
      <c r="FW10" s="1">
        <v>0</v>
      </c>
      <c r="FX10" s="1">
        <v>0</v>
      </c>
      <c r="FY10" s="1">
        <v>1</v>
      </c>
      <c r="FZ10" s="1">
        <v>0</v>
      </c>
      <c r="GA10" s="1">
        <v>1</v>
      </c>
      <c r="GB10" s="1">
        <v>0</v>
      </c>
      <c r="GC10" s="1">
        <v>0</v>
      </c>
      <c r="GD10" s="1">
        <v>0</v>
      </c>
      <c r="GE10" s="1">
        <v>2</v>
      </c>
      <c r="GF10" s="1">
        <v>0</v>
      </c>
      <c r="GG10" s="1">
        <v>1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1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2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1</v>
      </c>
      <c r="HZ10" s="1">
        <v>0</v>
      </c>
      <c r="IA10" s="1">
        <v>0</v>
      </c>
      <c r="IB10" s="1">
        <v>1</v>
      </c>
      <c r="IC10" s="1">
        <v>0</v>
      </c>
      <c r="ID10" s="1">
        <v>0</v>
      </c>
      <c r="IE10" s="1">
        <v>0</v>
      </c>
      <c r="IF10" s="1">
        <v>0</v>
      </c>
    </row>
    <row r="11" spans="1:240">
      <c r="A11" s="1" t="s">
        <v>726</v>
      </c>
      <c r="B11" s="1" t="s">
        <v>797</v>
      </c>
      <c r="C11" s="1" t="s">
        <v>788</v>
      </c>
      <c r="D11" s="1" t="s">
        <v>685</v>
      </c>
      <c r="E11" s="1" t="s">
        <v>685</v>
      </c>
      <c r="F11" s="1" t="s">
        <v>3030</v>
      </c>
      <c r="G11" s="77">
        <f t="shared" si="0"/>
        <v>42176</v>
      </c>
      <c r="H11" s="1">
        <v>18</v>
      </c>
      <c r="I11" s="1">
        <v>24266</v>
      </c>
      <c r="J11" s="1">
        <v>0</v>
      </c>
      <c r="K11" s="1">
        <v>0</v>
      </c>
      <c r="L11" s="1">
        <v>25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7445</v>
      </c>
      <c r="U11" s="1">
        <v>6719</v>
      </c>
      <c r="V11" s="1">
        <v>0</v>
      </c>
      <c r="W11" s="1">
        <v>1</v>
      </c>
      <c r="X11" s="1">
        <v>0</v>
      </c>
      <c r="Y11" s="1">
        <v>237</v>
      </c>
      <c r="Z11" s="1">
        <v>86</v>
      </c>
      <c r="AA11" s="1">
        <v>2248</v>
      </c>
      <c r="AB11" s="1">
        <v>0</v>
      </c>
      <c r="AC11" s="1">
        <v>0</v>
      </c>
      <c r="AD11" s="1">
        <v>19</v>
      </c>
      <c r="AE11" s="1">
        <v>0</v>
      </c>
      <c r="AF11" s="1">
        <v>0</v>
      </c>
      <c r="AG11" s="1">
        <v>7</v>
      </c>
      <c r="AH11" s="1">
        <v>0</v>
      </c>
      <c r="AI11" s="1">
        <v>0</v>
      </c>
      <c r="AJ11" s="1">
        <v>0</v>
      </c>
      <c r="AK11" s="1">
        <v>5</v>
      </c>
      <c r="AL11" s="1">
        <v>0</v>
      </c>
      <c r="AM11" s="1">
        <v>5</v>
      </c>
      <c r="AN11" s="1">
        <v>0</v>
      </c>
      <c r="AO11" s="1">
        <v>0</v>
      </c>
      <c r="AP11" s="1">
        <v>71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6</v>
      </c>
      <c r="AW11" s="1">
        <v>66</v>
      </c>
      <c r="AX11" s="1">
        <v>0</v>
      </c>
      <c r="AY11" s="1">
        <v>26</v>
      </c>
      <c r="AZ11" s="1">
        <v>44</v>
      </c>
      <c r="BA11" s="1">
        <v>46</v>
      </c>
      <c r="BB11" s="1">
        <v>60</v>
      </c>
      <c r="BC11" s="1">
        <v>0</v>
      </c>
      <c r="BD11" s="1">
        <v>38</v>
      </c>
      <c r="BE11" s="1">
        <v>27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42</v>
      </c>
      <c r="BL11" s="1">
        <v>47</v>
      </c>
      <c r="BM11" s="1">
        <v>1</v>
      </c>
      <c r="BN11" s="1">
        <v>1</v>
      </c>
      <c r="BO11" s="1">
        <v>0</v>
      </c>
      <c r="BP11" s="1">
        <v>18</v>
      </c>
      <c r="BQ11" s="1">
        <v>30</v>
      </c>
      <c r="BR11" s="1">
        <v>0</v>
      </c>
      <c r="BS11" s="1">
        <v>3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15</v>
      </c>
      <c r="CB11" s="1">
        <v>1</v>
      </c>
      <c r="CC11" s="1">
        <v>0</v>
      </c>
      <c r="CD11" s="1">
        <v>0</v>
      </c>
      <c r="CE11" s="1">
        <v>0</v>
      </c>
      <c r="CF11" s="1">
        <v>0</v>
      </c>
      <c r="CG11" s="1">
        <v>18</v>
      </c>
      <c r="CH11" s="1">
        <v>36</v>
      </c>
      <c r="CI11" s="1">
        <v>28</v>
      </c>
      <c r="CJ11" s="1">
        <v>0</v>
      </c>
      <c r="CK11" s="1">
        <v>0</v>
      </c>
      <c r="CL11" s="1">
        <v>0</v>
      </c>
      <c r="CM11" s="1">
        <v>0</v>
      </c>
      <c r="CN11" s="1">
        <v>15</v>
      </c>
      <c r="CO11" s="1">
        <v>0</v>
      </c>
      <c r="CP11" s="1">
        <v>6</v>
      </c>
      <c r="CQ11" s="1">
        <v>0</v>
      </c>
      <c r="CR11" s="1">
        <v>0</v>
      </c>
      <c r="CS11" s="1">
        <v>0</v>
      </c>
      <c r="CT11" s="1">
        <v>2</v>
      </c>
      <c r="CU11" s="1">
        <v>7</v>
      </c>
      <c r="CV11" s="1">
        <v>28</v>
      </c>
      <c r="CW11" s="1">
        <v>0</v>
      </c>
      <c r="CX11" s="1">
        <v>21</v>
      </c>
      <c r="CY11" s="1">
        <v>0</v>
      </c>
      <c r="CZ11" s="1">
        <v>2</v>
      </c>
      <c r="DA11" s="1">
        <v>3</v>
      </c>
      <c r="DB11" s="1">
        <v>26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4</v>
      </c>
      <c r="DI11" s="1">
        <v>9</v>
      </c>
      <c r="DJ11" s="1">
        <v>0</v>
      </c>
      <c r="DK11" s="1">
        <v>0</v>
      </c>
      <c r="DL11" s="1">
        <v>15</v>
      </c>
      <c r="DM11" s="1">
        <v>8</v>
      </c>
      <c r="DN11" s="1">
        <v>0</v>
      </c>
      <c r="DO11" s="1">
        <v>0</v>
      </c>
      <c r="DP11" s="1">
        <v>10</v>
      </c>
      <c r="DQ11" s="1">
        <v>0</v>
      </c>
      <c r="DR11" s="1">
        <v>0</v>
      </c>
      <c r="DS11" s="1">
        <v>22</v>
      </c>
      <c r="DT11" s="1">
        <v>22</v>
      </c>
      <c r="DU11" s="1">
        <v>16</v>
      </c>
      <c r="DV11" s="1">
        <v>0</v>
      </c>
      <c r="DW11" s="1">
        <v>0</v>
      </c>
      <c r="DX11" s="1">
        <v>0</v>
      </c>
      <c r="DY11" s="1">
        <v>0</v>
      </c>
      <c r="DZ11" s="1">
        <v>17</v>
      </c>
      <c r="EA11" s="1">
        <v>1</v>
      </c>
      <c r="EB11" s="1">
        <v>0</v>
      </c>
      <c r="EC11" s="1">
        <v>9</v>
      </c>
      <c r="ED11" s="1">
        <v>19</v>
      </c>
      <c r="EE11" s="1">
        <v>9</v>
      </c>
      <c r="EF11" s="1">
        <v>6</v>
      </c>
      <c r="EG11" s="1">
        <v>0</v>
      </c>
      <c r="EH11" s="1">
        <v>15</v>
      </c>
      <c r="EI11" s="1">
        <v>0</v>
      </c>
      <c r="EJ11" s="1">
        <v>7</v>
      </c>
      <c r="EK11" s="1">
        <v>0</v>
      </c>
      <c r="EL11" s="1">
        <v>0</v>
      </c>
      <c r="EM11" s="1">
        <v>1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11</v>
      </c>
      <c r="EU11" s="1">
        <v>11</v>
      </c>
      <c r="EV11" s="1">
        <v>0</v>
      </c>
      <c r="EW11" s="1">
        <v>0</v>
      </c>
      <c r="EX11" s="1">
        <v>6</v>
      </c>
      <c r="EY11" s="1">
        <v>0</v>
      </c>
      <c r="EZ11" s="1">
        <v>12</v>
      </c>
      <c r="FA11" s="1">
        <v>0</v>
      </c>
      <c r="FB11" s="1">
        <v>4</v>
      </c>
      <c r="FC11" s="1">
        <v>9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11</v>
      </c>
      <c r="FK11" s="1">
        <v>0</v>
      </c>
      <c r="FL11" s="1">
        <v>9</v>
      </c>
      <c r="FM11" s="1">
        <v>5</v>
      </c>
      <c r="FN11" s="1">
        <v>0</v>
      </c>
      <c r="FO11" s="1">
        <v>8</v>
      </c>
      <c r="FP11" s="1">
        <v>7</v>
      </c>
      <c r="FQ11" s="1">
        <v>1</v>
      </c>
      <c r="FR11" s="1">
        <v>9</v>
      </c>
      <c r="FS11" s="1">
        <v>0</v>
      </c>
      <c r="FT11" s="1">
        <v>8</v>
      </c>
      <c r="FU11" s="1">
        <v>0</v>
      </c>
      <c r="FV11" s="1">
        <v>8</v>
      </c>
      <c r="FW11" s="1">
        <v>1</v>
      </c>
      <c r="FX11" s="1">
        <v>6</v>
      </c>
      <c r="FY11" s="1">
        <v>2</v>
      </c>
      <c r="FZ11" s="1">
        <v>5</v>
      </c>
      <c r="GA11" s="1">
        <v>0</v>
      </c>
      <c r="GB11" s="1">
        <v>6</v>
      </c>
      <c r="GC11" s="1">
        <v>0</v>
      </c>
      <c r="GD11" s="1">
        <v>0</v>
      </c>
      <c r="GE11" s="1">
        <v>0</v>
      </c>
      <c r="GF11" s="1">
        <v>4</v>
      </c>
      <c r="GG11" s="1">
        <v>0</v>
      </c>
      <c r="GH11" s="1">
        <v>0</v>
      </c>
      <c r="GI11" s="1">
        <v>2</v>
      </c>
      <c r="GJ11" s="1">
        <v>0</v>
      </c>
      <c r="GK11" s="1">
        <v>5</v>
      </c>
      <c r="GL11" s="1">
        <v>1</v>
      </c>
      <c r="GM11" s="1">
        <v>0</v>
      </c>
      <c r="GN11" s="1">
        <v>5</v>
      </c>
      <c r="GO11" s="1">
        <v>0</v>
      </c>
      <c r="GP11" s="1">
        <v>0</v>
      </c>
      <c r="GQ11" s="1">
        <v>0</v>
      </c>
      <c r="GR11" s="1">
        <v>0</v>
      </c>
      <c r="GS11" s="1">
        <v>3</v>
      </c>
      <c r="GT11" s="1">
        <v>4</v>
      </c>
      <c r="GU11" s="1">
        <v>0</v>
      </c>
      <c r="GV11" s="1">
        <v>3</v>
      </c>
      <c r="GW11" s="1">
        <v>3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2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</row>
    <row r="12" spans="1:240">
      <c r="A12" s="1" t="s">
        <v>725</v>
      </c>
      <c r="B12" s="1" t="s">
        <v>796</v>
      </c>
      <c r="C12" s="1" t="s">
        <v>788</v>
      </c>
      <c r="D12" s="1" t="s">
        <v>685</v>
      </c>
      <c r="E12" s="1" t="s">
        <v>685</v>
      </c>
      <c r="F12" s="1" t="s">
        <v>3030</v>
      </c>
      <c r="G12" s="77">
        <f t="shared" si="0"/>
        <v>68266</v>
      </c>
      <c r="H12" s="1">
        <v>646</v>
      </c>
      <c r="I12" s="1">
        <v>457</v>
      </c>
      <c r="J12" s="1">
        <v>62418</v>
      </c>
      <c r="K12" s="1">
        <v>0</v>
      </c>
      <c r="L12" s="1">
        <v>274</v>
      </c>
      <c r="M12" s="1">
        <v>0</v>
      </c>
      <c r="N12" s="1">
        <v>0</v>
      </c>
      <c r="O12" s="1">
        <v>0</v>
      </c>
      <c r="P12" s="1">
        <v>65</v>
      </c>
      <c r="Q12" s="1">
        <v>80</v>
      </c>
      <c r="R12" s="1">
        <v>98</v>
      </c>
      <c r="S12" s="1">
        <v>0</v>
      </c>
      <c r="T12" s="1">
        <v>142</v>
      </c>
      <c r="U12" s="1">
        <v>20</v>
      </c>
      <c r="V12" s="1">
        <v>23</v>
      </c>
      <c r="W12" s="1">
        <v>37</v>
      </c>
      <c r="X12" s="1">
        <v>0</v>
      </c>
      <c r="Y12" s="1">
        <v>16</v>
      </c>
      <c r="Z12" s="1">
        <v>9</v>
      </c>
      <c r="AA12" s="1">
        <v>5</v>
      </c>
      <c r="AB12" s="1">
        <v>4</v>
      </c>
      <c r="AC12" s="1">
        <v>7</v>
      </c>
      <c r="AD12" s="1">
        <v>2</v>
      </c>
      <c r="AE12" s="1">
        <v>455</v>
      </c>
      <c r="AF12" s="1">
        <v>378</v>
      </c>
      <c r="AG12" s="1">
        <v>2</v>
      </c>
      <c r="AH12" s="1">
        <v>272</v>
      </c>
      <c r="AI12" s="1">
        <v>265</v>
      </c>
      <c r="AJ12" s="1">
        <v>3</v>
      </c>
      <c r="AK12" s="1">
        <v>133</v>
      </c>
      <c r="AL12" s="1">
        <v>0</v>
      </c>
      <c r="AM12" s="1">
        <v>114</v>
      </c>
      <c r="AN12" s="1">
        <v>163</v>
      </c>
      <c r="AO12" s="1">
        <v>147</v>
      </c>
      <c r="AP12" s="1">
        <v>1</v>
      </c>
      <c r="AQ12" s="1">
        <v>135</v>
      </c>
      <c r="AR12" s="1">
        <v>126</v>
      </c>
      <c r="AS12" s="1">
        <v>0</v>
      </c>
      <c r="AT12" s="1">
        <v>118</v>
      </c>
      <c r="AU12" s="1">
        <v>115</v>
      </c>
      <c r="AV12" s="1">
        <v>51</v>
      </c>
      <c r="AW12" s="1">
        <v>16</v>
      </c>
      <c r="AX12" s="1">
        <v>112</v>
      </c>
      <c r="AY12" s="1">
        <v>2</v>
      </c>
      <c r="AZ12" s="1">
        <v>8</v>
      </c>
      <c r="BA12" s="1">
        <v>0</v>
      </c>
      <c r="BB12" s="1">
        <v>2</v>
      </c>
      <c r="BC12" s="1">
        <v>88</v>
      </c>
      <c r="BD12" s="1">
        <v>7</v>
      </c>
      <c r="BE12" s="1">
        <v>14</v>
      </c>
      <c r="BF12" s="1">
        <v>0</v>
      </c>
      <c r="BG12" s="1">
        <v>0</v>
      </c>
      <c r="BH12" s="1">
        <v>49</v>
      </c>
      <c r="BI12" s="1">
        <v>72</v>
      </c>
      <c r="BJ12" s="1">
        <v>70</v>
      </c>
      <c r="BK12" s="1">
        <v>2</v>
      </c>
      <c r="BL12" s="1">
        <v>0</v>
      </c>
      <c r="BM12" s="1">
        <v>51</v>
      </c>
      <c r="BN12" s="1">
        <v>0</v>
      </c>
      <c r="BO12" s="1">
        <v>0</v>
      </c>
      <c r="BP12" s="1">
        <v>0</v>
      </c>
      <c r="BQ12" s="1">
        <v>0</v>
      </c>
      <c r="BR12" s="1">
        <v>55</v>
      </c>
      <c r="BS12" s="1">
        <v>36</v>
      </c>
      <c r="BT12" s="1">
        <v>54</v>
      </c>
      <c r="BU12" s="1">
        <v>1</v>
      </c>
      <c r="BV12" s="1">
        <v>52</v>
      </c>
      <c r="BW12" s="1">
        <v>0</v>
      </c>
      <c r="BX12" s="1">
        <v>48</v>
      </c>
      <c r="BY12" s="1">
        <v>1</v>
      </c>
      <c r="BZ12" s="1">
        <v>0</v>
      </c>
      <c r="CA12" s="1">
        <v>1</v>
      </c>
      <c r="CB12" s="1">
        <v>0</v>
      </c>
      <c r="CC12" s="1">
        <v>0</v>
      </c>
      <c r="CD12" s="1">
        <v>0</v>
      </c>
      <c r="CE12" s="1">
        <v>2</v>
      </c>
      <c r="CF12" s="1">
        <v>42</v>
      </c>
      <c r="CG12" s="1">
        <v>1</v>
      </c>
      <c r="CH12" s="1">
        <v>0</v>
      </c>
      <c r="CI12" s="1">
        <v>0</v>
      </c>
      <c r="CJ12" s="1">
        <v>39</v>
      </c>
      <c r="CK12" s="1">
        <v>38</v>
      </c>
      <c r="CL12" s="1">
        <v>37</v>
      </c>
      <c r="CM12" s="1">
        <v>37</v>
      </c>
      <c r="CN12" s="1">
        <v>0</v>
      </c>
      <c r="CO12" s="1">
        <v>0</v>
      </c>
      <c r="CP12" s="1">
        <v>0</v>
      </c>
      <c r="CQ12" s="1">
        <v>0</v>
      </c>
      <c r="CR12" s="1">
        <v>34</v>
      </c>
      <c r="CS12" s="1">
        <v>0</v>
      </c>
      <c r="CT12" s="1">
        <v>27</v>
      </c>
      <c r="CU12" s="1">
        <v>1</v>
      </c>
      <c r="CV12" s="1">
        <v>0</v>
      </c>
      <c r="CW12" s="1">
        <v>24</v>
      </c>
      <c r="CX12" s="1">
        <v>0</v>
      </c>
      <c r="CY12" s="1">
        <v>31</v>
      </c>
      <c r="CZ12" s="1">
        <v>25</v>
      </c>
      <c r="DA12" s="1">
        <v>14</v>
      </c>
      <c r="DB12" s="1">
        <v>2</v>
      </c>
      <c r="DC12" s="1">
        <v>29</v>
      </c>
      <c r="DD12" s="1">
        <v>0</v>
      </c>
      <c r="DE12" s="1">
        <v>23</v>
      </c>
      <c r="DF12" s="1">
        <v>28</v>
      </c>
      <c r="DG12" s="1">
        <v>0</v>
      </c>
      <c r="DH12" s="1">
        <v>1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24</v>
      </c>
      <c r="DO12" s="1">
        <v>0</v>
      </c>
      <c r="DP12" s="1">
        <v>0</v>
      </c>
      <c r="DQ12" s="1">
        <v>24</v>
      </c>
      <c r="DR12" s="1">
        <v>0</v>
      </c>
      <c r="DS12" s="1">
        <v>1</v>
      </c>
      <c r="DT12" s="1">
        <v>0</v>
      </c>
      <c r="DU12" s="1">
        <v>0</v>
      </c>
      <c r="DV12" s="1">
        <v>0</v>
      </c>
      <c r="DW12" s="1">
        <v>1</v>
      </c>
      <c r="DX12" s="1">
        <v>21</v>
      </c>
      <c r="DY12" s="1">
        <v>21</v>
      </c>
      <c r="DZ12" s="1">
        <v>0</v>
      </c>
      <c r="EA12" s="1">
        <v>13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18</v>
      </c>
      <c r="EH12" s="1">
        <v>2</v>
      </c>
      <c r="EI12" s="1">
        <v>0</v>
      </c>
      <c r="EJ12" s="1">
        <v>0</v>
      </c>
      <c r="EK12" s="1">
        <v>0</v>
      </c>
      <c r="EL12" s="1">
        <v>17</v>
      </c>
      <c r="EM12" s="1">
        <v>11</v>
      </c>
      <c r="EN12" s="1">
        <v>0</v>
      </c>
      <c r="EO12" s="1">
        <v>0</v>
      </c>
      <c r="EP12" s="1">
        <v>17</v>
      </c>
      <c r="EQ12" s="1">
        <v>16</v>
      </c>
      <c r="ER12" s="1">
        <v>16</v>
      </c>
      <c r="ES12" s="1">
        <v>0</v>
      </c>
      <c r="ET12" s="1">
        <v>0</v>
      </c>
      <c r="EU12" s="1">
        <v>0</v>
      </c>
      <c r="EV12" s="1">
        <v>14</v>
      </c>
      <c r="EW12" s="1">
        <v>0</v>
      </c>
      <c r="EX12" s="1">
        <v>0</v>
      </c>
      <c r="EY12" s="1">
        <v>0</v>
      </c>
      <c r="EZ12" s="1">
        <v>0</v>
      </c>
      <c r="FA12" s="1">
        <v>13</v>
      </c>
      <c r="FB12" s="1">
        <v>1</v>
      </c>
      <c r="FC12" s="1">
        <v>1</v>
      </c>
      <c r="FD12" s="1">
        <v>12</v>
      </c>
      <c r="FE12" s="1">
        <v>0</v>
      </c>
      <c r="FF12" s="1">
        <v>0</v>
      </c>
      <c r="FG12" s="1">
        <v>0</v>
      </c>
      <c r="FH12" s="1">
        <v>12</v>
      </c>
      <c r="FI12" s="1">
        <v>0</v>
      </c>
      <c r="FJ12" s="1">
        <v>0</v>
      </c>
      <c r="FK12" s="1">
        <v>0</v>
      </c>
      <c r="FL12" s="1">
        <v>0</v>
      </c>
      <c r="FM12" s="1">
        <v>2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9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1</v>
      </c>
      <c r="FZ12" s="1">
        <v>0</v>
      </c>
      <c r="GA12" s="1">
        <v>0</v>
      </c>
      <c r="GB12" s="1">
        <v>0</v>
      </c>
      <c r="GC12" s="1">
        <v>0</v>
      </c>
      <c r="GD12" s="1">
        <v>6</v>
      </c>
      <c r="GE12" s="1">
        <v>0</v>
      </c>
      <c r="GF12" s="1">
        <v>0</v>
      </c>
      <c r="GG12" s="1">
        <v>3</v>
      </c>
      <c r="GH12" s="1">
        <v>6</v>
      </c>
      <c r="GI12" s="1">
        <v>0</v>
      </c>
      <c r="GJ12" s="1">
        <v>5</v>
      </c>
      <c r="GK12" s="1">
        <v>0</v>
      </c>
      <c r="GL12" s="1">
        <v>1</v>
      </c>
      <c r="GM12" s="1">
        <v>0</v>
      </c>
      <c r="GN12" s="1">
        <v>0</v>
      </c>
      <c r="GO12" s="1">
        <v>5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4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2</v>
      </c>
      <c r="HF12" s="1">
        <v>3</v>
      </c>
      <c r="HG12" s="1">
        <v>0</v>
      </c>
      <c r="HH12" s="1">
        <v>0</v>
      </c>
      <c r="HI12" s="1">
        <v>0</v>
      </c>
      <c r="HJ12" s="1">
        <v>0</v>
      </c>
      <c r="HK12" s="1">
        <v>2</v>
      </c>
      <c r="HL12" s="1">
        <v>0</v>
      </c>
      <c r="HM12" s="1">
        <v>0</v>
      </c>
      <c r="HN12" s="1">
        <v>0</v>
      </c>
      <c r="HO12" s="1">
        <v>2</v>
      </c>
      <c r="HP12" s="1">
        <v>0</v>
      </c>
      <c r="HQ12" s="1">
        <v>0</v>
      </c>
      <c r="HR12" s="1">
        <v>0</v>
      </c>
      <c r="HS12" s="1">
        <v>0</v>
      </c>
      <c r="HT12" s="1">
        <v>2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1</v>
      </c>
    </row>
    <row r="13" spans="1:240">
      <c r="A13" s="1" t="s">
        <v>724</v>
      </c>
      <c r="B13" s="1" t="s">
        <v>795</v>
      </c>
      <c r="C13" s="1" t="s">
        <v>785</v>
      </c>
      <c r="D13" s="1" t="s">
        <v>685</v>
      </c>
      <c r="E13" s="1" t="s">
        <v>685</v>
      </c>
      <c r="F13" s="1" t="s">
        <v>3030</v>
      </c>
      <c r="G13" s="77">
        <f t="shared" si="0"/>
        <v>416</v>
      </c>
      <c r="H13" s="1">
        <v>350</v>
      </c>
      <c r="I13" s="1">
        <v>3</v>
      </c>
      <c r="J13" s="1">
        <v>45</v>
      </c>
      <c r="K13" s="1">
        <v>0</v>
      </c>
      <c r="L13" s="1">
        <v>5</v>
      </c>
      <c r="M13" s="1">
        <v>0</v>
      </c>
      <c r="N13" s="1">
        <v>0</v>
      </c>
      <c r="O13" s="1">
        <v>0</v>
      </c>
      <c r="P13" s="1">
        <v>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5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  <c r="AE13" s="1">
        <v>0</v>
      </c>
      <c r="AF13" s="1">
        <v>2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2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1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</row>
    <row r="14" spans="1:240">
      <c r="A14" s="1" t="s">
        <v>723</v>
      </c>
      <c r="B14" s="1" t="s">
        <v>794</v>
      </c>
      <c r="C14" s="1" t="s">
        <v>788</v>
      </c>
      <c r="D14" s="1">
        <v>114.29510000000001</v>
      </c>
      <c r="E14" s="1">
        <v>22.340879999999999</v>
      </c>
      <c r="F14" s="1" t="s">
        <v>3030</v>
      </c>
      <c r="G14" s="77">
        <f t="shared" si="0"/>
        <v>70</v>
      </c>
      <c r="H14" s="1">
        <v>0</v>
      </c>
      <c r="I14" s="1">
        <v>0</v>
      </c>
      <c r="J14" s="1">
        <v>0</v>
      </c>
      <c r="K14" s="1">
        <v>16</v>
      </c>
      <c r="L14" s="1">
        <v>0</v>
      </c>
      <c r="M14" s="1">
        <v>5</v>
      </c>
      <c r="N14" s="1">
        <v>23</v>
      </c>
      <c r="O14" s="1">
        <v>24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</row>
    <row r="15" spans="1:240">
      <c r="A15" s="1" t="s">
        <v>722</v>
      </c>
      <c r="B15" s="1" t="s">
        <v>793</v>
      </c>
      <c r="C15" s="1" t="s">
        <v>788</v>
      </c>
      <c r="D15" s="1">
        <v>114.29510000000001</v>
      </c>
      <c r="E15" s="1">
        <v>22.340879999999999</v>
      </c>
      <c r="F15" s="1" t="s">
        <v>3030</v>
      </c>
      <c r="G15" s="77">
        <f t="shared" si="0"/>
        <v>106447</v>
      </c>
      <c r="H15" s="1">
        <v>0</v>
      </c>
      <c r="I15" s="1">
        <v>0</v>
      </c>
      <c r="J15" s="1">
        <v>0</v>
      </c>
      <c r="K15" s="1">
        <v>19914</v>
      </c>
      <c r="L15" s="1">
        <v>0</v>
      </c>
      <c r="M15" s="1">
        <v>3</v>
      </c>
      <c r="N15" s="1">
        <v>43026</v>
      </c>
      <c r="O15" s="1">
        <v>39399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4076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26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2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</row>
    <row r="16" spans="1:240">
      <c r="A16" s="1" t="s">
        <v>721</v>
      </c>
      <c r="B16" s="1" t="s">
        <v>792</v>
      </c>
      <c r="C16" s="1" t="s">
        <v>785</v>
      </c>
      <c r="D16" s="1" t="s">
        <v>685</v>
      </c>
      <c r="E16" s="1" t="s">
        <v>685</v>
      </c>
      <c r="F16" s="1" t="s">
        <v>3030</v>
      </c>
      <c r="G16" s="77">
        <f t="shared" si="0"/>
        <v>209</v>
      </c>
      <c r="H16" s="1">
        <v>0</v>
      </c>
      <c r="I16" s="1">
        <v>0</v>
      </c>
      <c r="J16" s="1">
        <v>0</v>
      </c>
      <c r="K16" s="1">
        <v>171</v>
      </c>
      <c r="L16" s="1">
        <v>0</v>
      </c>
      <c r="M16" s="1">
        <v>5</v>
      </c>
      <c r="N16" s="1">
        <v>14</v>
      </c>
      <c r="O16" s="1">
        <v>15</v>
      </c>
      <c r="P16" s="1">
        <v>0</v>
      </c>
      <c r="Q16" s="1">
        <v>0</v>
      </c>
      <c r="R16" s="1">
        <v>0</v>
      </c>
      <c r="S16" s="1">
        <v>2</v>
      </c>
      <c r="T16" s="1">
        <v>0</v>
      </c>
      <c r="U16" s="1">
        <v>0</v>
      </c>
      <c r="V16" s="1">
        <v>0</v>
      </c>
      <c r="W16" s="1">
        <v>0</v>
      </c>
      <c r="X16" s="1">
        <v>2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</row>
    <row r="17" spans="1:240">
      <c r="A17" s="1" t="s">
        <v>720</v>
      </c>
      <c r="B17" s="1" t="s">
        <v>791</v>
      </c>
      <c r="C17" s="1" t="s">
        <v>785</v>
      </c>
      <c r="D17" s="1" t="s">
        <v>685</v>
      </c>
      <c r="E17" s="1" t="s">
        <v>685</v>
      </c>
      <c r="F17" s="1" t="s">
        <v>3030</v>
      </c>
      <c r="G17" s="77">
        <f t="shared" si="0"/>
        <v>16</v>
      </c>
      <c r="H17" s="1">
        <v>0</v>
      </c>
      <c r="I17" s="1">
        <v>0</v>
      </c>
      <c r="J17" s="1">
        <v>0</v>
      </c>
      <c r="K17" s="1">
        <v>3</v>
      </c>
      <c r="L17" s="1">
        <v>0</v>
      </c>
      <c r="M17" s="1">
        <v>5</v>
      </c>
      <c r="N17" s="1">
        <v>2</v>
      </c>
      <c r="O17" s="1">
        <v>6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</row>
    <row r="18" spans="1:240">
      <c r="A18" s="1" t="s">
        <v>719</v>
      </c>
      <c r="B18" s="1" t="s">
        <v>790</v>
      </c>
      <c r="C18" s="1" t="s">
        <v>785</v>
      </c>
      <c r="D18" s="1" t="s">
        <v>685</v>
      </c>
      <c r="E18" s="1" t="s">
        <v>685</v>
      </c>
      <c r="F18" s="1" t="s">
        <v>3030</v>
      </c>
      <c r="G18" s="77">
        <f t="shared" si="0"/>
        <v>2393</v>
      </c>
      <c r="H18" s="1">
        <v>0</v>
      </c>
      <c r="I18" s="1">
        <v>0</v>
      </c>
      <c r="J18" s="1">
        <v>0</v>
      </c>
      <c r="K18" s="1">
        <v>2118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109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166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</row>
    <row r="19" spans="1:240">
      <c r="A19" s="1" t="s">
        <v>718</v>
      </c>
      <c r="B19" s="1" t="s">
        <v>789</v>
      </c>
      <c r="C19" s="1" t="s">
        <v>788</v>
      </c>
      <c r="D19" s="1">
        <v>114.432</v>
      </c>
      <c r="E19" s="1">
        <v>22.368670000000002</v>
      </c>
      <c r="F19" s="1" t="s">
        <v>3030</v>
      </c>
      <c r="G19" s="77">
        <f t="shared" si="0"/>
        <v>101449</v>
      </c>
      <c r="H19" s="1">
        <v>0</v>
      </c>
      <c r="I19" s="1">
        <v>0</v>
      </c>
      <c r="J19" s="1">
        <v>0</v>
      </c>
      <c r="K19" s="1">
        <v>37477</v>
      </c>
      <c r="L19" s="1">
        <v>0</v>
      </c>
      <c r="M19" s="1">
        <v>55180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8788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3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1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</row>
    <row r="20" spans="1:240">
      <c r="A20" s="1" t="s">
        <v>717</v>
      </c>
      <c r="B20" s="1" t="s">
        <v>787</v>
      </c>
      <c r="C20" s="1" t="s">
        <v>785</v>
      </c>
      <c r="D20" s="1" t="s">
        <v>685</v>
      </c>
      <c r="E20" s="1" t="s">
        <v>685</v>
      </c>
      <c r="F20" s="1" t="s">
        <v>3030</v>
      </c>
      <c r="G20" s="77">
        <f t="shared" si="0"/>
        <v>5</v>
      </c>
      <c r="H20" s="1">
        <v>0</v>
      </c>
      <c r="I20" s="1">
        <v>0</v>
      </c>
      <c r="J20" s="1">
        <v>3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1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</row>
    <row r="21" spans="1:240">
      <c r="A21" s="1" t="s">
        <v>732</v>
      </c>
      <c r="B21" s="1" t="s">
        <v>786</v>
      </c>
      <c r="C21" s="1" t="s">
        <v>785</v>
      </c>
      <c r="D21" s="1" t="s">
        <v>685</v>
      </c>
      <c r="E21" s="1" t="s">
        <v>685</v>
      </c>
      <c r="F21" s="1" t="s">
        <v>3030</v>
      </c>
      <c r="G21" s="77">
        <f t="shared" si="0"/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</row>
    <row r="23" spans="1:240" s="8" customFormat="1">
      <c r="F23" s="67" t="s">
        <v>653</v>
      </c>
      <c r="G23" s="68">
        <f t="shared" ref="G23:BR23" si="1">SUM(G6:G21)</f>
        <v>624179</v>
      </c>
      <c r="H23" s="68">
        <f t="shared" si="1"/>
        <v>118608</v>
      </c>
      <c r="I23" s="68">
        <f t="shared" si="1"/>
        <v>87728</v>
      </c>
      <c r="J23" s="68">
        <f t="shared" si="1"/>
        <v>62468</v>
      </c>
      <c r="K23" s="68">
        <f t="shared" si="1"/>
        <v>59701</v>
      </c>
      <c r="L23" s="68">
        <f t="shared" si="1"/>
        <v>57034</v>
      </c>
      <c r="M23" s="68">
        <f t="shared" si="1"/>
        <v>55198</v>
      </c>
      <c r="N23" s="68">
        <f t="shared" si="1"/>
        <v>43065</v>
      </c>
      <c r="O23" s="68">
        <f t="shared" si="1"/>
        <v>39444</v>
      </c>
      <c r="P23" s="68">
        <f t="shared" si="1"/>
        <v>13896</v>
      </c>
      <c r="Q23" s="68">
        <f t="shared" si="1"/>
        <v>12343</v>
      </c>
      <c r="R23" s="68">
        <f t="shared" si="1"/>
        <v>11671</v>
      </c>
      <c r="S23" s="68">
        <f t="shared" si="1"/>
        <v>8901</v>
      </c>
      <c r="T23" s="68">
        <f t="shared" si="1"/>
        <v>7596</v>
      </c>
      <c r="U23" s="68">
        <f t="shared" si="1"/>
        <v>7403</v>
      </c>
      <c r="V23" s="68">
        <f t="shared" si="1"/>
        <v>7153</v>
      </c>
      <c r="W23" s="68">
        <f t="shared" si="1"/>
        <v>6462</v>
      </c>
      <c r="X23" s="68">
        <f t="shared" si="1"/>
        <v>4079</v>
      </c>
      <c r="Y23" s="68">
        <f t="shared" si="1"/>
        <v>3208</v>
      </c>
      <c r="Z23" s="68">
        <f t="shared" si="1"/>
        <v>3044</v>
      </c>
      <c r="AA23" s="68">
        <f t="shared" si="1"/>
        <v>2268</v>
      </c>
      <c r="AB23" s="68">
        <f t="shared" si="1"/>
        <v>1740</v>
      </c>
      <c r="AC23" s="68">
        <f t="shared" si="1"/>
        <v>1712</v>
      </c>
      <c r="AD23" s="68">
        <f t="shared" si="1"/>
        <v>1237</v>
      </c>
      <c r="AE23" s="68">
        <f t="shared" si="1"/>
        <v>455</v>
      </c>
      <c r="AF23" s="68">
        <f t="shared" si="1"/>
        <v>380</v>
      </c>
      <c r="AG23" s="68">
        <f t="shared" si="1"/>
        <v>309</v>
      </c>
      <c r="AH23" s="68">
        <f t="shared" si="1"/>
        <v>272</v>
      </c>
      <c r="AI23" s="68">
        <f t="shared" si="1"/>
        <v>265</v>
      </c>
      <c r="AJ23" s="68">
        <f t="shared" si="1"/>
        <v>202</v>
      </c>
      <c r="AK23" s="68">
        <f t="shared" si="1"/>
        <v>175</v>
      </c>
      <c r="AL23" s="68">
        <f t="shared" si="1"/>
        <v>169</v>
      </c>
      <c r="AM23" s="68">
        <f t="shared" si="1"/>
        <v>167</v>
      </c>
      <c r="AN23" s="68">
        <f t="shared" si="1"/>
        <v>163</v>
      </c>
      <c r="AO23" s="68">
        <f t="shared" si="1"/>
        <v>147</v>
      </c>
      <c r="AP23" s="68">
        <f t="shared" si="1"/>
        <v>138</v>
      </c>
      <c r="AQ23" s="68">
        <f t="shared" si="1"/>
        <v>135</v>
      </c>
      <c r="AR23" s="68">
        <f t="shared" si="1"/>
        <v>126</v>
      </c>
      <c r="AS23" s="68">
        <f t="shared" si="1"/>
        <v>121</v>
      </c>
      <c r="AT23" s="68">
        <f t="shared" si="1"/>
        <v>118</v>
      </c>
      <c r="AU23" s="68">
        <f t="shared" si="1"/>
        <v>116</v>
      </c>
      <c r="AV23" s="68">
        <f t="shared" si="1"/>
        <v>114</v>
      </c>
      <c r="AW23" s="68">
        <f t="shared" si="1"/>
        <v>113</v>
      </c>
      <c r="AX23" s="68">
        <f t="shared" si="1"/>
        <v>112</v>
      </c>
      <c r="AY23" s="68">
        <f t="shared" si="1"/>
        <v>111</v>
      </c>
      <c r="AZ23" s="68">
        <f t="shared" si="1"/>
        <v>108</v>
      </c>
      <c r="BA23" s="68">
        <f t="shared" si="1"/>
        <v>106</v>
      </c>
      <c r="BB23" s="68">
        <f t="shared" si="1"/>
        <v>103</v>
      </c>
      <c r="BC23" s="68">
        <f t="shared" si="1"/>
        <v>90</v>
      </c>
      <c r="BD23" s="68">
        <f t="shared" si="1"/>
        <v>86</v>
      </c>
      <c r="BE23" s="68">
        <f t="shared" si="1"/>
        <v>84</v>
      </c>
      <c r="BF23" s="68">
        <f t="shared" si="1"/>
        <v>78</v>
      </c>
      <c r="BG23" s="68">
        <f t="shared" si="1"/>
        <v>76</v>
      </c>
      <c r="BH23" s="68">
        <f t="shared" si="1"/>
        <v>74</v>
      </c>
      <c r="BI23" s="68">
        <f t="shared" si="1"/>
        <v>72</v>
      </c>
      <c r="BJ23" s="68">
        <f t="shared" si="1"/>
        <v>70</v>
      </c>
      <c r="BK23" s="68">
        <f t="shared" si="1"/>
        <v>69</v>
      </c>
      <c r="BL23" s="68">
        <f t="shared" si="1"/>
        <v>62</v>
      </c>
      <c r="BM23" s="68">
        <f t="shared" si="1"/>
        <v>59</v>
      </c>
      <c r="BN23" s="68">
        <f t="shared" si="1"/>
        <v>59</v>
      </c>
      <c r="BO23" s="68">
        <f t="shared" si="1"/>
        <v>58</v>
      </c>
      <c r="BP23" s="68">
        <f t="shared" si="1"/>
        <v>58</v>
      </c>
      <c r="BQ23" s="68">
        <f t="shared" si="1"/>
        <v>57</v>
      </c>
      <c r="BR23" s="68">
        <f t="shared" si="1"/>
        <v>55</v>
      </c>
      <c r="BS23" s="68">
        <f t="shared" ref="BS23:ED23" si="2">SUM(BS6:BS21)</f>
        <v>54</v>
      </c>
      <c r="BT23" s="68">
        <f t="shared" si="2"/>
        <v>54</v>
      </c>
      <c r="BU23" s="68">
        <f t="shared" si="2"/>
        <v>53</v>
      </c>
      <c r="BV23" s="68">
        <f t="shared" si="2"/>
        <v>52</v>
      </c>
      <c r="BW23" s="68">
        <f t="shared" si="2"/>
        <v>50</v>
      </c>
      <c r="BX23" s="68">
        <f t="shared" si="2"/>
        <v>48</v>
      </c>
      <c r="BY23" s="68">
        <f t="shared" si="2"/>
        <v>47</v>
      </c>
      <c r="BZ23" s="68">
        <f t="shared" si="2"/>
        <v>46</v>
      </c>
      <c r="CA23" s="68">
        <f t="shared" si="2"/>
        <v>46</v>
      </c>
      <c r="CB23" s="68">
        <f t="shared" si="2"/>
        <v>44</v>
      </c>
      <c r="CC23" s="68">
        <f t="shared" si="2"/>
        <v>44</v>
      </c>
      <c r="CD23" s="68">
        <f t="shared" si="2"/>
        <v>43</v>
      </c>
      <c r="CE23" s="68">
        <f t="shared" si="2"/>
        <v>43</v>
      </c>
      <c r="CF23" s="68">
        <f t="shared" si="2"/>
        <v>42</v>
      </c>
      <c r="CG23" s="68">
        <f t="shared" si="2"/>
        <v>41</v>
      </c>
      <c r="CH23" s="68">
        <f t="shared" si="2"/>
        <v>41</v>
      </c>
      <c r="CI23" s="68">
        <f t="shared" si="2"/>
        <v>40</v>
      </c>
      <c r="CJ23" s="68">
        <f t="shared" si="2"/>
        <v>39</v>
      </c>
      <c r="CK23" s="68">
        <f t="shared" si="2"/>
        <v>38</v>
      </c>
      <c r="CL23" s="68">
        <f t="shared" si="2"/>
        <v>37</v>
      </c>
      <c r="CM23" s="68">
        <f t="shared" si="2"/>
        <v>37</v>
      </c>
      <c r="CN23" s="68">
        <f t="shared" si="2"/>
        <v>36</v>
      </c>
      <c r="CO23" s="68">
        <f t="shared" si="2"/>
        <v>36</v>
      </c>
      <c r="CP23" s="68">
        <f t="shared" si="2"/>
        <v>36</v>
      </c>
      <c r="CQ23" s="68">
        <f t="shared" si="2"/>
        <v>34</v>
      </c>
      <c r="CR23" s="68">
        <f t="shared" si="2"/>
        <v>34</v>
      </c>
      <c r="CS23" s="68">
        <f t="shared" si="2"/>
        <v>31</v>
      </c>
      <c r="CT23" s="68">
        <f t="shared" si="2"/>
        <v>31</v>
      </c>
      <c r="CU23" s="68">
        <f t="shared" si="2"/>
        <v>31</v>
      </c>
      <c r="CV23" s="68">
        <f t="shared" si="2"/>
        <v>31</v>
      </c>
      <c r="CW23" s="68">
        <f t="shared" si="2"/>
        <v>31</v>
      </c>
      <c r="CX23" s="68">
        <f t="shared" si="2"/>
        <v>31</v>
      </c>
      <c r="CY23" s="68">
        <f t="shared" si="2"/>
        <v>31</v>
      </c>
      <c r="CZ23" s="68">
        <f t="shared" si="2"/>
        <v>30</v>
      </c>
      <c r="DA23" s="68">
        <f t="shared" si="2"/>
        <v>30</v>
      </c>
      <c r="DB23" s="68">
        <f t="shared" si="2"/>
        <v>29</v>
      </c>
      <c r="DC23" s="68">
        <f t="shared" si="2"/>
        <v>29</v>
      </c>
      <c r="DD23" s="68">
        <f t="shared" si="2"/>
        <v>29</v>
      </c>
      <c r="DE23" s="68">
        <f t="shared" si="2"/>
        <v>29</v>
      </c>
      <c r="DF23" s="68">
        <f t="shared" si="2"/>
        <v>28</v>
      </c>
      <c r="DG23" s="68">
        <f t="shared" si="2"/>
        <v>28</v>
      </c>
      <c r="DH23" s="68">
        <f t="shared" si="2"/>
        <v>27</v>
      </c>
      <c r="DI23" s="68">
        <f t="shared" si="2"/>
        <v>27</v>
      </c>
      <c r="DJ23" s="68">
        <f t="shared" si="2"/>
        <v>27</v>
      </c>
      <c r="DK23" s="68">
        <f t="shared" si="2"/>
        <v>26</v>
      </c>
      <c r="DL23" s="68">
        <f t="shared" si="2"/>
        <v>26</v>
      </c>
      <c r="DM23" s="68">
        <f t="shared" si="2"/>
        <v>25</v>
      </c>
      <c r="DN23" s="68">
        <f t="shared" si="2"/>
        <v>25</v>
      </c>
      <c r="DO23" s="68">
        <f t="shared" si="2"/>
        <v>24</v>
      </c>
      <c r="DP23" s="68">
        <f t="shared" si="2"/>
        <v>24</v>
      </c>
      <c r="DQ23" s="68">
        <f t="shared" si="2"/>
        <v>24</v>
      </c>
      <c r="DR23" s="68">
        <f t="shared" si="2"/>
        <v>23</v>
      </c>
      <c r="DS23" s="68">
        <f t="shared" si="2"/>
        <v>23</v>
      </c>
      <c r="DT23" s="68">
        <f t="shared" si="2"/>
        <v>22</v>
      </c>
      <c r="DU23" s="68">
        <f t="shared" si="2"/>
        <v>22</v>
      </c>
      <c r="DV23" s="68">
        <f t="shared" si="2"/>
        <v>22</v>
      </c>
      <c r="DW23" s="68">
        <f t="shared" si="2"/>
        <v>21</v>
      </c>
      <c r="DX23" s="68">
        <f t="shared" si="2"/>
        <v>21</v>
      </c>
      <c r="DY23" s="68">
        <f t="shared" si="2"/>
        <v>21</v>
      </c>
      <c r="DZ23" s="68">
        <f t="shared" si="2"/>
        <v>20</v>
      </c>
      <c r="EA23" s="68">
        <f t="shared" si="2"/>
        <v>20</v>
      </c>
      <c r="EB23" s="68">
        <f t="shared" si="2"/>
        <v>19</v>
      </c>
      <c r="EC23" s="68">
        <f t="shared" si="2"/>
        <v>19</v>
      </c>
      <c r="ED23" s="68">
        <f t="shared" si="2"/>
        <v>19</v>
      </c>
      <c r="EE23" s="68">
        <f t="shared" ref="EE23:GP23" si="3">SUM(EE6:EE21)</f>
        <v>19</v>
      </c>
      <c r="EF23" s="68">
        <f t="shared" si="3"/>
        <v>18</v>
      </c>
      <c r="EG23" s="68">
        <f t="shared" si="3"/>
        <v>18</v>
      </c>
      <c r="EH23" s="68">
        <f t="shared" si="3"/>
        <v>18</v>
      </c>
      <c r="EI23" s="68">
        <f t="shared" si="3"/>
        <v>18</v>
      </c>
      <c r="EJ23" s="68">
        <f t="shared" si="3"/>
        <v>17</v>
      </c>
      <c r="EK23" s="68">
        <f t="shared" si="3"/>
        <v>17</v>
      </c>
      <c r="EL23" s="68">
        <f t="shared" si="3"/>
        <v>17</v>
      </c>
      <c r="EM23" s="68">
        <f t="shared" si="3"/>
        <v>17</v>
      </c>
      <c r="EN23" s="68">
        <f t="shared" si="3"/>
        <v>17</v>
      </c>
      <c r="EO23" s="68">
        <f t="shared" si="3"/>
        <v>17</v>
      </c>
      <c r="EP23" s="68">
        <f t="shared" si="3"/>
        <v>17</v>
      </c>
      <c r="EQ23" s="68">
        <f t="shared" si="3"/>
        <v>16</v>
      </c>
      <c r="ER23" s="68">
        <f t="shared" si="3"/>
        <v>16</v>
      </c>
      <c r="ES23" s="68">
        <f t="shared" si="3"/>
        <v>15</v>
      </c>
      <c r="ET23" s="68">
        <f t="shared" si="3"/>
        <v>15</v>
      </c>
      <c r="EU23" s="68">
        <f t="shared" si="3"/>
        <v>15</v>
      </c>
      <c r="EV23" s="68">
        <f t="shared" si="3"/>
        <v>14</v>
      </c>
      <c r="EW23" s="68">
        <f t="shared" si="3"/>
        <v>14</v>
      </c>
      <c r="EX23" s="68">
        <f t="shared" si="3"/>
        <v>14</v>
      </c>
      <c r="EY23" s="68">
        <f t="shared" si="3"/>
        <v>13</v>
      </c>
      <c r="EZ23" s="68">
        <f t="shared" si="3"/>
        <v>13</v>
      </c>
      <c r="FA23" s="68">
        <f t="shared" si="3"/>
        <v>13</v>
      </c>
      <c r="FB23" s="68">
        <f t="shared" si="3"/>
        <v>12</v>
      </c>
      <c r="FC23" s="68">
        <f t="shared" si="3"/>
        <v>12</v>
      </c>
      <c r="FD23" s="68">
        <f t="shared" si="3"/>
        <v>12</v>
      </c>
      <c r="FE23" s="68">
        <f t="shared" si="3"/>
        <v>12</v>
      </c>
      <c r="FF23" s="68">
        <f t="shared" si="3"/>
        <v>12</v>
      </c>
      <c r="FG23" s="68">
        <f t="shared" si="3"/>
        <v>12</v>
      </c>
      <c r="FH23" s="68">
        <f t="shared" si="3"/>
        <v>12</v>
      </c>
      <c r="FI23" s="68">
        <f t="shared" si="3"/>
        <v>11</v>
      </c>
      <c r="FJ23" s="68">
        <f t="shared" si="3"/>
        <v>11</v>
      </c>
      <c r="FK23" s="68">
        <f t="shared" si="3"/>
        <v>10</v>
      </c>
      <c r="FL23" s="68">
        <f t="shared" si="3"/>
        <v>10</v>
      </c>
      <c r="FM23" s="68">
        <f t="shared" si="3"/>
        <v>10</v>
      </c>
      <c r="FN23" s="68">
        <f t="shared" si="3"/>
        <v>10</v>
      </c>
      <c r="FO23" s="68">
        <f t="shared" si="3"/>
        <v>10</v>
      </c>
      <c r="FP23" s="68">
        <f t="shared" si="3"/>
        <v>9</v>
      </c>
      <c r="FQ23" s="68">
        <f t="shared" si="3"/>
        <v>9</v>
      </c>
      <c r="FR23" s="68">
        <f t="shared" si="3"/>
        <v>9</v>
      </c>
      <c r="FS23" s="68">
        <f t="shared" si="3"/>
        <v>9</v>
      </c>
      <c r="FT23" s="68">
        <f t="shared" si="3"/>
        <v>8</v>
      </c>
      <c r="FU23" s="68">
        <f t="shared" si="3"/>
        <v>8</v>
      </c>
      <c r="FV23" s="68">
        <f t="shared" si="3"/>
        <v>8</v>
      </c>
      <c r="FW23" s="68">
        <f t="shared" si="3"/>
        <v>8</v>
      </c>
      <c r="FX23" s="68">
        <f t="shared" si="3"/>
        <v>8</v>
      </c>
      <c r="FY23" s="68">
        <f t="shared" si="3"/>
        <v>7</v>
      </c>
      <c r="FZ23" s="68">
        <f t="shared" si="3"/>
        <v>7</v>
      </c>
      <c r="GA23" s="68">
        <f t="shared" si="3"/>
        <v>7</v>
      </c>
      <c r="GB23" s="68">
        <f t="shared" si="3"/>
        <v>6</v>
      </c>
      <c r="GC23" s="68">
        <f t="shared" si="3"/>
        <v>6</v>
      </c>
      <c r="GD23" s="68">
        <f t="shared" si="3"/>
        <v>6</v>
      </c>
      <c r="GE23" s="68">
        <f t="shared" si="3"/>
        <v>6</v>
      </c>
      <c r="GF23" s="68">
        <f t="shared" si="3"/>
        <v>6</v>
      </c>
      <c r="GG23" s="68">
        <f t="shared" si="3"/>
        <v>6</v>
      </c>
      <c r="GH23" s="68">
        <f t="shared" si="3"/>
        <v>6</v>
      </c>
      <c r="GI23" s="68">
        <f t="shared" si="3"/>
        <v>5</v>
      </c>
      <c r="GJ23" s="68">
        <f t="shared" si="3"/>
        <v>5</v>
      </c>
      <c r="GK23" s="68">
        <f t="shared" si="3"/>
        <v>5</v>
      </c>
      <c r="GL23" s="68">
        <f t="shared" si="3"/>
        <v>5</v>
      </c>
      <c r="GM23" s="68">
        <f t="shared" si="3"/>
        <v>5</v>
      </c>
      <c r="GN23" s="68">
        <f t="shared" si="3"/>
        <v>5</v>
      </c>
      <c r="GO23" s="68">
        <f t="shared" si="3"/>
        <v>5</v>
      </c>
      <c r="GP23" s="68">
        <f t="shared" si="3"/>
        <v>4</v>
      </c>
      <c r="GQ23" s="68">
        <f t="shared" ref="GQ23:IF23" si="4">SUM(GQ6:GQ21)</f>
        <v>4</v>
      </c>
      <c r="GR23" s="68">
        <f t="shared" si="4"/>
        <v>4</v>
      </c>
      <c r="GS23" s="68">
        <f t="shared" si="4"/>
        <v>4</v>
      </c>
      <c r="GT23" s="68">
        <f t="shared" si="4"/>
        <v>4</v>
      </c>
      <c r="GU23" s="68">
        <f t="shared" si="4"/>
        <v>4</v>
      </c>
      <c r="GV23" s="68">
        <f t="shared" si="4"/>
        <v>3</v>
      </c>
      <c r="GW23" s="68">
        <f t="shared" si="4"/>
        <v>3</v>
      </c>
      <c r="GX23" s="68">
        <f t="shared" si="4"/>
        <v>3</v>
      </c>
      <c r="GY23" s="68">
        <f t="shared" si="4"/>
        <v>3</v>
      </c>
      <c r="GZ23" s="68">
        <f t="shared" si="4"/>
        <v>3</v>
      </c>
      <c r="HA23" s="68">
        <f t="shared" si="4"/>
        <v>3</v>
      </c>
      <c r="HB23" s="68">
        <f t="shared" si="4"/>
        <v>3</v>
      </c>
      <c r="HC23" s="68">
        <f t="shared" si="4"/>
        <v>3</v>
      </c>
      <c r="HD23" s="68">
        <f t="shared" si="4"/>
        <v>3</v>
      </c>
      <c r="HE23" s="68">
        <f t="shared" si="4"/>
        <v>3</v>
      </c>
      <c r="HF23" s="68">
        <f t="shared" si="4"/>
        <v>3</v>
      </c>
      <c r="HG23" s="68">
        <f t="shared" si="4"/>
        <v>3</v>
      </c>
      <c r="HH23" s="68">
        <f t="shared" si="4"/>
        <v>3</v>
      </c>
      <c r="HI23" s="68">
        <f t="shared" si="4"/>
        <v>2</v>
      </c>
      <c r="HJ23" s="68">
        <f t="shared" si="4"/>
        <v>2</v>
      </c>
      <c r="HK23" s="68">
        <f t="shared" si="4"/>
        <v>2</v>
      </c>
      <c r="HL23" s="68">
        <f t="shared" si="4"/>
        <v>2</v>
      </c>
      <c r="HM23" s="68">
        <f t="shared" si="4"/>
        <v>2</v>
      </c>
      <c r="HN23" s="68">
        <f t="shared" si="4"/>
        <v>2</v>
      </c>
      <c r="HO23" s="68">
        <f t="shared" si="4"/>
        <v>2</v>
      </c>
      <c r="HP23" s="68">
        <f t="shared" si="4"/>
        <v>2</v>
      </c>
      <c r="HQ23" s="68">
        <f t="shared" si="4"/>
        <v>2</v>
      </c>
      <c r="HR23" s="68">
        <f t="shared" si="4"/>
        <v>2</v>
      </c>
      <c r="HS23" s="68">
        <f t="shared" si="4"/>
        <v>2</v>
      </c>
      <c r="HT23" s="68">
        <f t="shared" si="4"/>
        <v>2</v>
      </c>
      <c r="HU23" s="68">
        <f t="shared" si="4"/>
        <v>1</v>
      </c>
      <c r="HV23" s="68">
        <f t="shared" si="4"/>
        <v>1</v>
      </c>
      <c r="HW23" s="68">
        <f t="shared" si="4"/>
        <v>1</v>
      </c>
      <c r="HX23" s="68">
        <f t="shared" si="4"/>
        <v>1</v>
      </c>
      <c r="HY23" s="68">
        <f t="shared" si="4"/>
        <v>1</v>
      </c>
      <c r="HZ23" s="68">
        <f t="shared" si="4"/>
        <v>1</v>
      </c>
      <c r="IA23" s="68">
        <f t="shared" si="4"/>
        <v>1</v>
      </c>
      <c r="IB23" s="68">
        <f t="shared" si="4"/>
        <v>1</v>
      </c>
      <c r="IC23" s="68">
        <f t="shared" si="4"/>
        <v>1</v>
      </c>
      <c r="ID23" s="68">
        <f t="shared" si="4"/>
        <v>1</v>
      </c>
      <c r="IE23" s="68">
        <f t="shared" si="4"/>
        <v>1</v>
      </c>
      <c r="IF23" s="68">
        <f t="shared" si="4"/>
        <v>1</v>
      </c>
    </row>
    <row r="24" spans="1:240">
      <c r="A24" s="1" t="s">
        <v>3024</v>
      </c>
    </row>
    <row r="25" spans="1:240">
      <c r="F25" s="78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BA0C-5CDA-5B4C-9E66-7A73A735903F}">
  <dimension ref="A1:CL25"/>
  <sheetViews>
    <sheetView zoomScale="150" zoomScaleNormal="150" workbookViewId="0">
      <pane xSplit="7" ySplit="5" topLeftCell="N6" activePane="bottomRight" state="frozen"/>
      <selection pane="topRight" activeCell="F1" sqref="F1"/>
      <selection pane="bottomLeft" activeCell="A5" sqref="A5"/>
      <selection pane="bottomRight" activeCell="A5" sqref="A5"/>
    </sheetView>
  </sheetViews>
  <sheetFormatPr baseColWidth="10" defaultRowHeight="16"/>
  <cols>
    <col min="1" max="1" width="10.5" style="1" customWidth="1"/>
    <col min="2" max="2" width="15" style="1" customWidth="1"/>
    <col min="3" max="3" width="13.33203125" style="1" customWidth="1"/>
    <col min="4" max="5" width="9.33203125" style="1" customWidth="1"/>
    <col min="6" max="6" width="18.83203125" style="1" customWidth="1"/>
    <col min="7" max="7" width="10.6640625" style="1" customWidth="1"/>
    <col min="8" max="9" width="11" style="1" customWidth="1"/>
    <col min="10" max="16384" width="10.83203125" style="1"/>
  </cols>
  <sheetData>
    <row r="1" spans="1:90">
      <c r="G1" s="13" t="s">
        <v>1103</v>
      </c>
    </row>
    <row r="2" spans="1:90">
      <c r="G2" s="13" t="s">
        <v>1102</v>
      </c>
      <c r="H2" s="1" t="s">
        <v>165</v>
      </c>
      <c r="I2" s="1" t="s">
        <v>165</v>
      </c>
      <c r="J2" s="1" t="s">
        <v>165</v>
      </c>
      <c r="K2" s="1" t="s">
        <v>165</v>
      </c>
      <c r="L2" s="1" t="s">
        <v>165</v>
      </c>
      <c r="M2" s="1" t="s">
        <v>165</v>
      </c>
      <c r="N2" s="1" t="s">
        <v>165</v>
      </c>
      <c r="O2" s="1" t="s">
        <v>165</v>
      </c>
      <c r="P2" s="1" t="s">
        <v>165</v>
      </c>
      <c r="Q2" s="1" t="s">
        <v>165</v>
      </c>
      <c r="R2" s="1" t="s">
        <v>165</v>
      </c>
      <c r="S2" s="1" t="s">
        <v>165</v>
      </c>
      <c r="T2" s="1" t="s">
        <v>165</v>
      </c>
      <c r="V2" s="1" t="s">
        <v>165</v>
      </c>
      <c r="W2" s="1" t="s">
        <v>165</v>
      </c>
      <c r="X2" s="1" t="s">
        <v>165</v>
      </c>
      <c r="Y2" s="1" t="s">
        <v>165</v>
      </c>
      <c r="Z2" s="1" t="s">
        <v>165</v>
      </c>
      <c r="AA2" s="1" t="s">
        <v>165</v>
      </c>
      <c r="AB2" s="1" t="s">
        <v>165</v>
      </c>
      <c r="AC2" s="1" t="s">
        <v>165</v>
      </c>
      <c r="AD2" s="1" t="s">
        <v>165</v>
      </c>
      <c r="AF2" s="1" t="s">
        <v>165</v>
      </c>
      <c r="AG2" s="1" t="s">
        <v>165</v>
      </c>
      <c r="AI2" s="1" t="s">
        <v>165</v>
      </c>
      <c r="AJ2" s="1" t="s">
        <v>165</v>
      </c>
      <c r="AK2" s="1" t="s">
        <v>165</v>
      </c>
      <c r="AL2" s="1" t="s">
        <v>165</v>
      </c>
      <c r="AM2" s="1" t="s">
        <v>165</v>
      </c>
      <c r="AN2" s="1" t="s">
        <v>165</v>
      </c>
      <c r="AO2" s="1" t="s">
        <v>165</v>
      </c>
      <c r="AP2" s="1" t="s">
        <v>165</v>
      </c>
      <c r="AQ2" s="1" t="s">
        <v>165</v>
      </c>
      <c r="AR2" s="1" t="s">
        <v>165</v>
      </c>
      <c r="AT2" s="1" t="s">
        <v>165</v>
      </c>
      <c r="AV2" s="1" t="s">
        <v>165</v>
      </c>
      <c r="AW2" s="1" t="s">
        <v>165</v>
      </c>
      <c r="AX2" s="1" t="s">
        <v>165</v>
      </c>
      <c r="BA2" s="1" t="s">
        <v>165</v>
      </c>
      <c r="BB2" s="1" t="s">
        <v>165</v>
      </c>
      <c r="BC2" s="1" t="s">
        <v>165</v>
      </c>
      <c r="BE2" s="1" t="s">
        <v>165</v>
      </c>
      <c r="BF2" s="1" t="s">
        <v>165</v>
      </c>
      <c r="BG2" s="1" t="s">
        <v>165</v>
      </c>
      <c r="BH2" s="1" t="s">
        <v>165</v>
      </c>
      <c r="BI2" s="1" t="s">
        <v>165</v>
      </c>
      <c r="BJ2" s="1" t="s">
        <v>165</v>
      </c>
      <c r="BK2" s="1" t="s">
        <v>165</v>
      </c>
      <c r="BL2" s="1" t="s">
        <v>165</v>
      </c>
      <c r="BM2" s="1" t="s">
        <v>165</v>
      </c>
      <c r="BN2" s="1" t="s">
        <v>165</v>
      </c>
      <c r="BP2" s="1" t="s">
        <v>165</v>
      </c>
      <c r="BQ2" s="1" t="s">
        <v>165</v>
      </c>
      <c r="BR2" s="1" t="s">
        <v>165</v>
      </c>
      <c r="BS2" s="1" t="s">
        <v>165</v>
      </c>
      <c r="BU2" s="1" t="s">
        <v>165</v>
      </c>
      <c r="BV2" s="1" t="s">
        <v>165</v>
      </c>
      <c r="BW2" s="1" t="s">
        <v>165</v>
      </c>
      <c r="BX2" s="1" t="s">
        <v>165</v>
      </c>
      <c r="BY2" s="1" t="s">
        <v>165</v>
      </c>
      <c r="BZ2" s="1" t="s">
        <v>165</v>
      </c>
      <c r="CA2" s="1" t="s">
        <v>165</v>
      </c>
      <c r="CB2" s="1" t="s">
        <v>165</v>
      </c>
      <c r="CC2" s="1" t="s">
        <v>165</v>
      </c>
      <c r="CD2" s="1" t="s">
        <v>165</v>
      </c>
      <c r="CE2" s="1" t="s">
        <v>165</v>
      </c>
      <c r="CF2" s="1" t="s">
        <v>165</v>
      </c>
      <c r="CG2" s="1" t="s">
        <v>165</v>
      </c>
      <c r="CH2" s="1" t="s">
        <v>165</v>
      </c>
      <c r="CI2" s="1" t="s">
        <v>165</v>
      </c>
      <c r="CJ2" s="1" t="s">
        <v>165</v>
      </c>
      <c r="CK2" s="1" t="s">
        <v>165</v>
      </c>
      <c r="CL2" s="1" t="s">
        <v>165</v>
      </c>
    </row>
    <row r="3" spans="1:90">
      <c r="F3" s="13"/>
      <c r="G3" s="13" t="s">
        <v>1101</v>
      </c>
      <c r="H3" s="1" t="s">
        <v>222</v>
      </c>
      <c r="J3" s="1" t="s">
        <v>256</v>
      </c>
      <c r="K3" s="1" t="s">
        <v>250</v>
      </c>
      <c r="M3" s="1" t="s">
        <v>250</v>
      </c>
      <c r="N3" s="1" t="s">
        <v>256</v>
      </c>
      <c r="O3" s="1" t="s">
        <v>256</v>
      </c>
      <c r="S3" s="1" t="s">
        <v>256</v>
      </c>
      <c r="Z3" s="1" t="s">
        <v>250</v>
      </c>
      <c r="AF3" s="1" t="s">
        <v>183</v>
      </c>
      <c r="AI3" s="1" t="s">
        <v>183</v>
      </c>
      <c r="AJ3" s="1" t="s">
        <v>183</v>
      </c>
      <c r="AL3" s="1" t="s">
        <v>222</v>
      </c>
      <c r="AP3" s="1" t="s">
        <v>256</v>
      </c>
      <c r="AR3" s="1" t="s">
        <v>222</v>
      </c>
      <c r="BC3" s="1" t="s">
        <v>256</v>
      </c>
      <c r="BI3" s="1" t="s">
        <v>256</v>
      </c>
      <c r="BK3" s="1" t="s">
        <v>222</v>
      </c>
      <c r="BL3" s="1" t="s">
        <v>183</v>
      </c>
      <c r="BM3" s="1" t="s">
        <v>256</v>
      </c>
      <c r="BN3" s="1" t="s">
        <v>183</v>
      </c>
      <c r="BP3" s="1" t="s">
        <v>222</v>
      </c>
      <c r="BS3" s="1" t="s">
        <v>222</v>
      </c>
      <c r="BZ3" s="1" t="s">
        <v>256</v>
      </c>
      <c r="CB3" s="1" t="s">
        <v>256</v>
      </c>
      <c r="CE3" s="1" t="s">
        <v>256</v>
      </c>
      <c r="CG3" s="1" t="s">
        <v>256</v>
      </c>
      <c r="CH3" s="1" t="s">
        <v>256</v>
      </c>
      <c r="CI3" s="1" t="s">
        <v>256</v>
      </c>
    </row>
    <row r="4" spans="1:90">
      <c r="A4" s="13" t="s">
        <v>3032</v>
      </c>
      <c r="F4" s="13"/>
      <c r="G4" s="13" t="s">
        <v>1100</v>
      </c>
      <c r="H4" s="1" t="s">
        <v>1616</v>
      </c>
      <c r="I4" s="1" t="s">
        <v>1615</v>
      </c>
      <c r="J4" s="1" t="s">
        <v>1614</v>
      </c>
      <c r="K4" s="1" t="s">
        <v>1613</v>
      </c>
      <c r="L4" s="1" t="s">
        <v>1612</v>
      </c>
      <c r="M4" s="1" t="s">
        <v>1611</v>
      </c>
      <c r="N4" s="1" t="s">
        <v>1610</v>
      </c>
      <c r="O4" s="1" t="s">
        <v>1609</v>
      </c>
      <c r="P4" s="1" t="s">
        <v>1608</v>
      </c>
      <c r="Q4" s="1" t="s">
        <v>1607</v>
      </c>
      <c r="R4" s="1" t="s">
        <v>1606</v>
      </c>
      <c r="S4" s="1" t="s">
        <v>1605</v>
      </c>
      <c r="T4" s="1" t="s">
        <v>1604</v>
      </c>
      <c r="U4" s="1" t="s">
        <v>1603</v>
      </c>
      <c r="V4" s="1" t="s">
        <v>1602</v>
      </c>
      <c r="W4" s="1" t="s">
        <v>1601</v>
      </c>
      <c r="X4" s="1" t="s">
        <v>1600</v>
      </c>
      <c r="Y4" s="1" t="s">
        <v>1599</v>
      </c>
      <c r="Z4" s="1" t="s">
        <v>1598</v>
      </c>
      <c r="AA4" s="1" t="s">
        <v>1597</v>
      </c>
      <c r="AB4" s="1" t="s">
        <v>1596</v>
      </c>
      <c r="AC4" s="1" t="s">
        <v>1595</v>
      </c>
      <c r="AD4" s="1" t="s">
        <v>1594</v>
      </c>
      <c r="AE4" s="1" t="s">
        <v>1593</v>
      </c>
      <c r="AF4" s="1" t="s">
        <v>1592</v>
      </c>
      <c r="AG4" s="1" t="s">
        <v>1591</v>
      </c>
      <c r="AH4" s="1" t="s">
        <v>1590</v>
      </c>
      <c r="AI4" s="1" t="s">
        <v>1589</v>
      </c>
      <c r="AJ4" s="1" t="s">
        <v>1588</v>
      </c>
      <c r="AK4" s="1" t="s">
        <v>1587</v>
      </c>
      <c r="AL4" s="1" t="s">
        <v>1586</v>
      </c>
      <c r="AM4" s="1" t="s">
        <v>1585</v>
      </c>
      <c r="AN4" s="1" t="s">
        <v>1584</v>
      </c>
      <c r="AO4" s="1" t="s">
        <v>1583</v>
      </c>
      <c r="AP4" s="1" t="s">
        <v>1582</v>
      </c>
      <c r="AQ4" s="1" t="s">
        <v>1581</v>
      </c>
      <c r="AR4" s="1" t="s">
        <v>1580</v>
      </c>
      <c r="AS4" s="1" t="s">
        <v>1579</v>
      </c>
      <c r="AT4" s="1" t="s">
        <v>1578</v>
      </c>
      <c r="AU4" s="1" t="s">
        <v>1577</v>
      </c>
      <c r="AV4" s="1" t="s">
        <v>1576</v>
      </c>
      <c r="AW4" s="1" t="s">
        <v>1575</v>
      </c>
      <c r="AX4" s="1" t="s">
        <v>1574</v>
      </c>
      <c r="AY4" s="1" t="s">
        <v>1573</v>
      </c>
      <c r="AZ4" s="1" t="s">
        <v>1572</v>
      </c>
      <c r="BA4" s="1" t="s">
        <v>1571</v>
      </c>
      <c r="BB4" s="1" t="s">
        <v>1570</v>
      </c>
      <c r="BC4" s="1" t="s">
        <v>1569</v>
      </c>
      <c r="BD4" s="1" t="s">
        <v>1568</v>
      </c>
      <c r="BE4" s="1" t="s">
        <v>1567</v>
      </c>
      <c r="BF4" s="1" t="s">
        <v>1566</v>
      </c>
      <c r="BG4" s="1" t="s">
        <v>1565</v>
      </c>
      <c r="BH4" s="1" t="s">
        <v>1564</v>
      </c>
      <c r="BI4" s="1" t="s">
        <v>1563</v>
      </c>
      <c r="BJ4" s="1" t="s">
        <v>1562</v>
      </c>
      <c r="BK4" s="1" t="s">
        <v>1561</v>
      </c>
      <c r="BL4" s="1" t="s">
        <v>1560</v>
      </c>
      <c r="BM4" s="1" t="s">
        <v>1559</v>
      </c>
      <c r="BN4" s="1" t="s">
        <v>1558</v>
      </c>
      <c r="BO4" s="1" t="s">
        <v>1557</v>
      </c>
      <c r="BP4" s="1" t="s">
        <v>1556</v>
      </c>
      <c r="BQ4" s="1" t="s">
        <v>1555</v>
      </c>
      <c r="BR4" s="1" t="s">
        <v>1554</v>
      </c>
      <c r="BS4" s="1" t="s">
        <v>1553</v>
      </c>
      <c r="BT4" s="1" t="s">
        <v>1552</v>
      </c>
      <c r="BU4" s="1" t="s">
        <v>1551</v>
      </c>
      <c r="BV4" s="1" t="s">
        <v>1550</v>
      </c>
      <c r="BW4" s="1" t="s">
        <v>1549</v>
      </c>
      <c r="BX4" s="1" t="s">
        <v>1548</v>
      </c>
      <c r="BY4" s="1" t="s">
        <v>1547</v>
      </c>
      <c r="BZ4" s="1" t="s">
        <v>1546</v>
      </c>
      <c r="CA4" s="1" t="s">
        <v>1545</v>
      </c>
      <c r="CB4" s="1" t="s">
        <v>1544</v>
      </c>
      <c r="CC4" s="1" t="s">
        <v>1543</v>
      </c>
      <c r="CD4" s="1" t="s">
        <v>1542</v>
      </c>
      <c r="CE4" s="1" t="s">
        <v>1541</v>
      </c>
      <c r="CF4" s="1" t="s">
        <v>1540</v>
      </c>
      <c r="CG4" s="1" t="s">
        <v>1539</v>
      </c>
      <c r="CH4" s="1" t="s">
        <v>1538</v>
      </c>
      <c r="CI4" s="1" t="s">
        <v>1537</v>
      </c>
      <c r="CJ4" s="1" t="s">
        <v>1536</v>
      </c>
      <c r="CK4" s="1" t="s">
        <v>1535</v>
      </c>
      <c r="CL4" s="1" t="s">
        <v>1534</v>
      </c>
    </row>
    <row r="5" spans="1:90" s="60" customFormat="1">
      <c r="A5" s="60" t="s">
        <v>954</v>
      </c>
      <c r="B5" s="60" t="s">
        <v>953</v>
      </c>
      <c r="C5" s="60" t="s">
        <v>952</v>
      </c>
      <c r="D5" s="60" t="s">
        <v>951</v>
      </c>
      <c r="E5" s="60" t="s">
        <v>950</v>
      </c>
      <c r="F5" s="60" t="s">
        <v>949</v>
      </c>
      <c r="G5" s="60" t="s">
        <v>948</v>
      </c>
      <c r="H5" s="60" t="s">
        <v>947</v>
      </c>
      <c r="I5" s="60" t="s">
        <v>946</v>
      </c>
      <c r="J5" s="60" t="s">
        <v>945</v>
      </c>
      <c r="K5" s="60" t="s">
        <v>944</v>
      </c>
      <c r="L5" s="60" t="s">
        <v>943</v>
      </c>
      <c r="M5" s="60" t="s">
        <v>942</v>
      </c>
      <c r="N5" s="60" t="s">
        <v>941</v>
      </c>
      <c r="O5" s="60" t="s">
        <v>940</v>
      </c>
      <c r="P5" s="60" t="s">
        <v>939</v>
      </c>
      <c r="Q5" s="60" t="s">
        <v>938</v>
      </c>
      <c r="R5" s="60" t="s">
        <v>937</v>
      </c>
      <c r="S5" s="60" t="s">
        <v>936</v>
      </c>
      <c r="T5" s="60" t="s">
        <v>935</v>
      </c>
      <c r="U5" s="60" t="s">
        <v>934</v>
      </c>
      <c r="V5" s="60" t="s">
        <v>933</v>
      </c>
      <c r="W5" s="60" t="s">
        <v>932</v>
      </c>
      <c r="X5" s="60" t="s">
        <v>931</v>
      </c>
      <c r="Y5" s="60" t="s">
        <v>930</v>
      </c>
      <c r="Z5" s="60" t="s">
        <v>929</v>
      </c>
      <c r="AA5" s="60" t="s">
        <v>928</v>
      </c>
      <c r="AB5" s="60" t="s">
        <v>927</v>
      </c>
      <c r="AC5" s="60" t="s">
        <v>926</v>
      </c>
      <c r="AD5" s="60" t="s">
        <v>925</v>
      </c>
      <c r="AE5" s="60" t="s">
        <v>924</v>
      </c>
      <c r="AF5" s="60" t="s">
        <v>923</v>
      </c>
      <c r="AG5" s="60" t="s">
        <v>922</v>
      </c>
      <c r="AH5" s="60" t="s">
        <v>921</v>
      </c>
      <c r="AI5" s="60" t="s">
        <v>920</v>
      </c>
      <c r="AJ5" s="60" t="s">
        <v>919</v>
      </c>
      <c r="AK5" s="60" t="s">
        <v>918</v>
      </c>
      <c r="AL5" s="60" t="s">
        <v>917</v>
      </c>
      <c r="AM5" s="60" t="s">
        <v>916</v>
      </c>
      <c r="AN5" s="60" t="s">
        <v>915</v>
      </c>
      <c r="AO5" s="60" t="s">
        <v>914</v>
      </c>
      <c r="AP5" s="60" t="s">
        <v>913</v>
      </c>
      <c r="AQ5" s="60" t="s">
        <v>912</v>
      </c>
      <c r="AR5" s="60" t="s">
        <v>911</v>
      </c>
      <c r="AS5" s="60" t="s">
        <v>910</v>
      </c>
      <c r="AT5" s="60" t="s">
        <v>909</v>
      </c>
      <c r="AU5" s="60" t="s">
        <v>908</v>
      </c>
      <c r="AV5" s="60" t="s">
        <v>907</v>
      </c>
      <c r="AW5" s="60" t="s">
        <v>906</v>
      </c>
      <c r="AX5" s="60" t="s">
        <v>905</v>
      </c>
      <c r="AY5" s="60" t="s">
        <v>904</v>
      </c>
      <c r="AZ5" s="60" t="s">
        <v>903</v>
      </c>
      <c r="BA5" s="60" t="s">
        <v>902</v>
      </c>
      <c r="BB5" s="60" t="s">
        <v>901</v>
      </c>
      <c r="BC5" s="60" t="s">
        <v>900</v>
      </c>
      <c r="BD5" s="60" t="s">
        <v>899</v>
      </c>
      <c r="BE5" s="60" t="s">
        <v>898</v>
      </c>
      <c r="BF5" s="60" t="s">
        <v>897</v>
      </c>
      <c r="BG5" s="60" t="s">
        <v>896</v>
      </c>
      <c r="BH5" s="60" t="s">
        <v>895</v>
      </c>
      <c r="BI5" s="60" t="s">
        <v>894</v>
      </c>
      <c r="BJ5" s="60" t="s">
        <v>893</v>
      </c>
      <c r="BK5" s="60" t="s">
        <v>892</v>
      </c>
      <c r="BL5" s="60" t="s">
        <v>891</v>
      </c>
      <c r="BM5" s="60" t="s">
        <v>890</v>
      </c>
      <c r="BN5" s="60" t="s">
        <v>889</v>
      </c>
      <c r="BO5" s="60" t="s">
        <v>888</v>
      </c>
      <c r="BP5" s="60" t="s">
        <v>887</v>
      </c>
      <c r="BQ5" s="60" t="s">
        <v>886</v>
      </c>
      <c r="BR5" s="60" t="s">
        <v>885</v>
      </c>
      <c r="BS5" s="60" t="s">
        <v>884</v>
      </c>
      <c r="BT5" s="60" t="s">
        <v>883</v>
      </c>
      <c r="BU5" s="60" t="s">
        <v>882</v>
      </c>
      <c r="BV5" s="60" t="s">
        <v>881</v>
      </c>
      <c r="BW5" s="60" t="s">
        <v>880</v>
      </c>
      <c r="BX5" s="60" t="s">
        <v>879</v>
      </c>
      <c r="BY5" s="60" t="s">
        <v>878</v>
      </c>
      <c r="BZ5" s="60" t="s">
        <v>877</v>
      </c>
      <c r="CA5" s="60" t="s">
        <v>876</v>
      </c>
      <c r="CB5" s="60" t="s">
        <v>875</v>
      </c>
      <c r="CC5" s="60" t="s">
        <v>874</v>
      </c>
      <c r="CD5" s="60" t="s">
        <v>873</v>
      </c>
      <c r="CE5" s="60" t="s">
        <v>872</v>
      </c>
      <c r="CF5" s="60" t="s">
        <v>871</v>
      </c>
      <c r="CG5" s="60" t="s">
        <v>870</v>
      </c>
      <c r="CH5" s="60" t="s">
        <v>869</v>
      </c>
      <c r="CI5" s="60" t="s">
        <v>868</v>
      </c>
      <c r="CJ5" s="60" t="s">
        <v>867</v>
      </c>
      <c r="CK5" s="60" t="s">
        <v>866</v>
      </c>
      <c r="CL5" s="60" t="s">
        <v>865</v>
      </c>
    </row>
    <row r="6" spans="1:90">
      <c r="A6" s="1" t="s">
        <v>740</v>
      </c>
      <c r="B6" s="1" t="s">
        <v>802</v>
      </c>
      <c r="C6" s="1" t="s">
        <v>788</v>
      </c>
      <c r="D6" s="1" t="s">
        <v>685</v>
      </c>
      <c r="E6" s="1" t="s">
        <v>685</v>
      </c>
      <c r="F6" s="1" t="s">
        <v>3031</v>
      </c>
      <c r="G6" s="77">
        <f t="shared" ref="G6:G21" si="0">SUM(H6:CL6)</f>
        <v>88810</v>
      </c>
      <c r="H6" s="1">
        <v>44762</v>
      </c>
      <c r="I6" s="1">
        <v>0</v>
      </c>
      <c r="J6" s="1">
        <v>28647</v>
      </c>
      <c r="K6" s="1">
        <v>190</v>
      </c>
      <c r="L6" s="1">
        <v>0</v>
      </c>
      <c r="M6" s="1">
        <v>0</v>
      </c>
      <c r="N6" s="1">
        <v>1380</v>
      </c>
      <c r="O6" s="1">
        <v>13171</v>
      </c>
      <c r="P6" s="1">
        <v>69</v>
      </c>
      <c r="Q6" s="1">
        <v>35</v>
      </c>
      <c r="R6" s="1">
        <v>108</v>
      </c>
      <c r="S6" s="1">
        <v>0</v>
      </c>
      <c r="T6" s="1">
        <v>51</v>
      </c>
      <c r="U6" s="1">
        <v>6</v>
      </c>
      <c r="V6" s="1">
        <v>0</v>
      </c>
      <c r="W6" s="1">
        <v>86</v>
      </c>
      <c r="X6" s="1">
        <v>0</v>
      </c>
      <c r="Y6" s="1">
        <v>2</v>
      </c>
      <c r="Z6" s="1">
        <v>0</v>
      </c>
      <c r="AA6" s="1">
        <v>9</v>
      </c>
      <c r="AB6" s="1">
        <v>0</v>
      </c>
      <c r="AC6" s="1">
        <v>36</v>
      </c>
      <c r="AD6" s="1">
        <v>0</v>
      </c>
      <c r="AE6" s="1">
        <v>2</v>
      </c>
      <c r="AF6" s="1">
        <v>77</v>
      </c>
      <c r="AG6" s="1">
        <v>27</v>
      </c>
      <c r="AH6" s="1">
        <v>4</v>
      </c>
      <c r="AI6" s="1">
        <v>0</v>
      </c>
      <c r="AJ6" s="1">
        <v>0</v>
      </c>
      <c r="AK6" s="1">
        <v>0</v>
      </c>
      <c r="AL6" s="1">
        <v>7</v>
      </c>
      <c r="AM6" s="1">
        <v>43</v>
      </c>
      <c r="AN6" s="1">
        <v>22</v>
      </c>
      <c r="AO6" s="1">
        <v>16</v>
      </c>
      <c r="AP6" s="1">
        <v>0</v>
      </c>
      <c r="AQ6" s="1">
        <v>0</v>
      </c>
      <c r="AR6" s="1">
        <v>2</v>
      </c>
      <c r="AS6" s="1">
        <v>0</v>
      </c>
      <c r="AT6" s="1">
        <v>7</v>
      </c>
      <c r="AU6" s="1">
        <v>0</v>
      </c>
      <c r="AV6" s="1">
        <v>3</v>
      </c>
      <c r="AW6" s="1">
        <v>1</v>
      </c>
      <c r="AX6" s="1">
        <v>0</v>
      </c>
      <c r="AY6" s="1">
        <v>1</v>
      </c>
      <c r="AZ6" s="1">
        <v>1</v>
      </c>
      <c r="BA6" s="1">
        <v>0</v>
      </c>
      <c r="BB6" s="1">
        <v>0</v>
      </c>
      <c r="BC6" s="1">
        <v>6</v>
      </c>
      <c r="BD6" s="1">
        <v>4</v>
      </c>
      <c r="BE6" s="1">
        <v>12</v>
      </c>
      <c r="BF6" s="1">
        <v>2</v>
      </c>
      <c r="BG6" s="1">
        <v>6</v>
      </c>
      <c r="BH6" s="1">
        <v>1</v>
      </c>
      <c r="BI6" s="1">
        <v>0</v>
      </c>
      <c r="BJ6" s="1">
        <v>0</v>
      </c>
      <c r="BK6" s="1">
        <v>0</v>
      </c>
      <c r="BL6" s="1">
        <v>0</v>
      </c>
      <c r="BM6" s="1">
        <v>1</v>
      </c>
      <c r="BN6" s="1">
        <v>0</v>
      </c>
      <c r="BO6" s="1">
        <v>0</v>
      </c>
      <c r="BP6" s="1">
        <v>4</v>
      </c>
      <c r="BQ6" s="1">
        <v>1</v>
      </c>
      <c r="BR6" s="1">
        <v>0</v>
      </c>
      <c r="BS6" s="1">
        <v>0</v>
      </c>
      <c r="BT6" s="1">
        <v>0</v>
      </c>
      <c r="BU6" s="1">
        <v>0</v>
      </c>
      <c r="BV6" s="1">
        <v>2</v>
      </c>
      <c r="BW6" s="1">
        <v>0</v>
      </c>
      <c r="BX6" s="1">
        <v>2</v>
      </c>
      <c r="BY6" s="1">
        <v>0</v>
      </c>
      <c r="BZ6" s="1">
        <v>0</v>
      </c>
      <c r="CA6" s="1">
        <v>1</v>
      </c>
      <c r="CB6" s="1">
        <v>0</v>
      </c>
      <c r="CC6" s="1">
        <v>0</v>
      </c>
      <c r="CD6" s="1">
        <v>0</v>
      </c>
      <c r="CE6" s="1">
        <v>0</v>
      </c>
      <c r="CF6" s="1">
        <v>1</v>
      </c>
      <c r="CG6" s="1">
        <v>0</v>
      </c>
      <c r="CH6" s="1">
        <v>0</v>
      </c>
      <c r="CI6" s="1">
        <v>0</v>
      </c>
      <c r="CJ6" s="1">
        <v>0</v>
      </c>
      <c r="CK6" s="1">
        <v>1</v>
      </c>
      <c r="CL6" s="1">
        <v>1</v>
      </c>
    </row>
    <row r="7" spans="1:90">
      <c r="A7" s="1" t="s">
        <v>739</v>
      </c>
      <c r="B7" s="1" t="s">
        <v>801</v>
      </c>
      <c r="C7" s="1" t="s">
        <v>788</v>
      </c>
      <c r="D7" s="1" t="s">
        <v>685</v>
      </c>
      <c r="E7" s="1" t="s">
        <v>685</v>
      </c>
      <c r="F7" s="1" t="s">
        <v>3031</v>
      </c>
      <c r="G7" s="77">
        <f t="shared" si="0"/>
        <v>114942</v>
      </c>
      <c r="H7" s="1">
        <v>10134</v>
      </c>
      <c r="I7" s="1">
        <v>1</v>
      </c>
      <c r="J7" s="1">
        <v>10974</v>
      </c>
      <c r="K7" s="1">
        <v>82509</v>
      </c>
      <c r="L7" s="1">
        <v>0</v>
      </c>
      <c r="M7" s="1">
        <v>10</v>
      </c>
      <c r="N7" s="1">
        <v>2268</v>
      </c>
      <c r="O7" s="1">
        <v>742</v>
      </c>
      <c r="P7" s="1">
        <v>1744</v>
      </c>
      <c r="Q7" s="1">
        <v>2211</v>
      </c>
      <c r="R7" s="1">
        <v>1199</v>
      </c>
      <c r="S7" s="1">
        <v>1</v>
      </c>
      <c r="T7" s="1">
        <v>1529</v>
      </c>
      <c r="U7" s="1">
        <v>579</v>
      </c>
      <c r="V7" s="1">
        <v>341</v>
      </c>
      <c r="W7" s="1">
        <v>0</v>
      </c>
      <c r="X7" s="1">
        <v>0</v>
      </c>
      <c r="Y7" s="1">
        <v>304</v>
      </c>
      <c r="Z7" s="1">
        <v>281</v>
      </c>
      <c r="AA7" s="1">
        <v>0</v>
      </c>
      <c r="AB7" s="1">
        <v>0</v>
      </c>
      <c r="AC7" s="1">
        <v>0</v>
      </c>
      <c r="AD7" s="1">
        <v>0</v>
      </c>
      <c r="AE7" s="1">
        <v>96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2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5</v>
      </c>
      <c r="AS7" s="1">
        <v>0</v>
      </c>
      <c r="AT7" s="1">
        <v>0</v>
      </c>
      <c r="AU7" s="1">
        <v>0</v>
      </c>
      <c r="AV7" s="1">
        <v>6</v>
      </c>
      <c r="AW7" s="1">
        <v>0</v>
      </c>
      <c r="AX7" s="1">
        <v>0</v>
      </c>
      <c r="AY7" s="1">
        <v>0</v>
      </c>
      <c r="AZ7" s="1">
        <v>0</v>
      </c>
      <c r="BA7" s="1">
        <v>2</v>
      </c>
      <c r="BB7" s="1">
        <v>0</v>
      </c>
      <c r="BC7" s="1">
        <v>0</v>
      </c>
      <c r="BD7" s="1">
        <v>0</v>
      </c>
      <c r="BE7" s="1">
        <v>0</v>
      </c>
      <c r="BF7" s="1">
        <v>2</v>
      </c>
      <c r="BG7" s="1">
        <v>1</v>
      </c>
      <c r="BH7" s="1">
        <v>0</v>
      </c>
      <c r="BI7" s="1">
        <v>0</v>
      </c>
      <c r="BJ7" s="1">
        <v>1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</row>
    <row r="8" spans="1:90">
      <c r="A8" s="1" t="s">
        <v>738</v>
      </c>
      <c r="B8" s="1" t="s">
        <v>800</v>
      </c>
      <c r="C8" s="1" t="s">
        <v>788</v>
      </c>
      <c r="D8" s="1" t="s">
        <v>685</v>
      </c>
      <c r="E8" s="1" t="s">
        <v>685</v>
      </c>
      <c r="F8" s="1" t="s">
        <v>3031</v>
      </c>
      <c r="G8" s="77">
        <f t="shared" si="0"/>
        <v>93461</v>
      </c>
      <c r="H8" s="1">
        <v>10948</v>
      </c>
      <c r="I8" s="1">
        <v>0</v>
      </c>
      <c r="J8" s="1">
        <v>70759</v>
      </c>
      <c r="K8" s="1">
        <v>4</v>
      </c>
      <c r="L8" s="1">
        <v>0</v>
      </c>
      <c r="M8" s="1">
        <v>0</v>
      </c>
      <c r="N8" s="1">
        <v>11302</v>
      </c>
      <c r="O8" s="1">
        <v>44</v>
      </c>
      <c r="P8" s="1">
        <v>13</v>
      </c>
      <c r="Q8" s="1">
        <v>48</v>
      </c>
      <c r="R8" s="1">
        <v>41</v>
      </c>
      <c r="S8" s="1">
        <v>1</v>
      </c>
      <c r="T8" s="1">
        <v>23</v>
      </c>
      <c r="U8" s="1">
        <v>2</v>
      </c>
      <c r="V8" s="1">
        <v>0</v>
      </c>
      <c r="W8" s="1">
        <v>50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30</v>
      </c>
      <c r="AD8" s="1">
        <v>0</v>
      </c>
      <c r="AE8" s="1">
        <v>3</v>
      </c>
      <c r="AF8" s="1">
        <v>42</v>
      </c>
      <c r="AG8" s="1">
        <v>25</v>
      </c>
      <c r="AH8" s="1">
        <v>8</v>
      </c>
      <c r="AI8" s="1">
        <v>0</v>
      </c>
      <c r="AJ8" s="1">
        <v>0</v>
      </c>
      <c r="AK8" s="1">
        <v>0</v>
      </c>
      <c r="AL8" s="1">
        <v>9</v>
      </c>
      <c r="AM8" s="1">
        <v>20</v>
      </c>
      <c r="AN8" s="1">
        <v>3</v>
      </c>
      <c r="AO8" s="1">
        <v>29</v>
      </c>
      <c r="AP8" s="1">
        <v>0</v>
      </c>
      <c r="AQ8" s="1">
        <v>0</v>
      </c>
      <c r="AR8" s="1">
        <v>0</v>
      </c>
      <c r="AS8" s="1">
        <v>0</v>
      </c>
      <c r="AT8" s="1">
        <v>2</v>
      </c>
      <c r="AU8" s="1">
        <v>0</v>
      </c>
      <c r="AV8" s="1">
        <v>1</v>
      </c>
      <c r="AW8" s="1">
        <v>3</v>
      </c>
      <c r="AX8" s="1">
        <v>1</v>
      </c>
      <c r="AY8" s="1">
        <v>8</v>
      </c>
      <c r="AZ8" s="1">
        <v>2</v>
      </c>
      <c r="BA8" s="1">
        <v>10</v>
      </c>
      <c r="BB8" s="1">
        <v>0</v>
      </c>
      <c r="BC8" s="1">
        <v>11</v>
      </c>
      <c r="BD8" s="1">
        <v>3</v>
      </c>
      <c r="BE8" s="1">
        <v>2</v>
      </c>
      <c r="BF8" s="1">
        <v>0</v>
      </c>
      <c r="BG8" s="1">
        <v>6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7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1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</row>
    <row r="9" spans="1:90">
      <c r="A9" s="1" t="s">
        <v>737</v>
      </c>
      <c r="B9" s="1" t="s">
        <v>799</v>
      </c>
      <c r="C9" s="1" t="s">
        <v>788</v>
      </c>
      <c r="D9" s="1" t="s">
        <v>685</v>
      </c>
      <c r="E9" s="1" t="s">
        <v>685</v>
      </c>
      <c r="F9" s="1" t="s">
        <v>3031</v>
      </c>
      <c r="G9" s="77">
        <f t="shared" si="0"/>
        <v>81194</v>
      </c>
      <c r="H9" s="1">
        <v>78353</v>
      </c>
      <c r="I9" s="1">
        <v>0</v>
      </c>
      <c r="J9" s="1">
        <v>0</v>
      </c>
      <c r="K9" s="1">
        <v>0</v>
      </c>
      <c r="L9" s="1">
        <v>5</v>
      </c>
      <c r="M9" s="1">
        <v>0</v>
      </c>
      <c r="N9" s="1">
        <v>39</v>
      </c>
      <c r="O9" s="1">
        <v>0</v>
      </c>
      <c r="P9" s="1">
        <v>41</v>
      </c>
      <c r="Q9" s="1">
        <v>39</v>
      </c>
      <c r="R9" s="1">
        <v>99</v>
      </c>
      <c r="S9" s="1">
        <v>2153</v>
      </c>
      <c r="T9" s="1">
        <v>45</v>
      </c>
      <c r="U9" s="1">
        <v>1</v>
      </c>
      <c r="V9" s="1">
        <v>0</v>
      </c>
      <c r="W9" s="1">
        <v>57</v>
      </c>
      <c r="X9" s="1">
        <v>0</v>
      </c>
      <c r="Y9" s="1">
        <v>0</v>
      </c>
      <c r="Z9" s="1">
        <v>0</v>
      </c>
      <c r="AA9" s="1">
        <v>15</v>
      </c>
      <c r="AB9" s="1">
        <v>0</v>
      </c>
      <c r="AC9" s="1">
        <v>71</v>
      </c>
      <c r="AD9" s="1">
        <v>0</v>
      </c>
      <c r="AE9" s="1">
        <v>10</v>
      </c>
      <c r="AF9" s="1">
        <v>39</v>
      </c>
      <c r="AG9" s="1">
        <v>44</v>
      </c>
      <c r="AH9" s="1">
        <v>22</v>
      </c>
      <c r="AI9" s="1">
        <v>0</v>
      </c>
      <c r="AJ9" s="1">
        <v>0</v>
      </c>
      <c r="AK9" s="1">
        <v>0</v>
      </c>
      <c r="AL9" s="1">
        <v>23</v>
      </c>
      <c r="AM9" s="1">
        <v>0</v>
      </c>
      <c r="AN9" s="1">
        <v>20</v>
      </c>
      <c r="AO9" s="1">
        <v>0</v>
      </c>
      <c r="AP9" s="1">
        <v>0</v>
      </c>
      <c r="AQ9" s="1">
        <v>0</v>
      </c>
      <c r="AR9" s="1">
        <v>11</v>
      </c>
      <c r="AS9" s="1">
        <v>0</v>
      </c>
      <c r="AT9" s="1">
        <v>13</v>
      </c>
      <c r="AU9" s="1">
        <v>0</v>
      </c>
      <c r="AV9" s="1">
        <v>8</v>
      </c>
      <c r="AW9" s="1">
        <v>13</v>
      </c>
      <c r="AX9" s="1">
        <v>11</v>
      </c>
      <c r="AY9" s="1">
        <v>0</v>
      </c>
      <c r="AZ9" s="1">
        <v>7</v>
      </c>
      <c r="BA9" s="1">
        <v>9</v>
      </c>
      <c r="BB9" s="1">
        <v>0</v>
      </c>
      <c r="BC9" s="1">
        <v>0</v>
      </c>
      <c r="BD9" s="1">
        <v>7</v>
      </c>
      <c r="BE9" s="1">
        <v>0</v>
      </c>
      <c r="BF9" s="1">
        <v>7</v>
      </c>
      <c r="BG9" s="1">
        <v>0</v>
      </c>
      <c r="BH9" s="1">
        <v>0</v>
      </c>
      <c r="BI9" s="1">
        <v>12</v>
      </c>
      <c r="BJ9" s="1">
        <v>1</v>
      </c>
      <c r="BK9" s="1">
        <v>8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2</v>
      </c>
      <c r="BR9" s="1">
        <v>3</v>
      </c>
      <c r="BS9" s="1">
        <v>0</v>
      </c>
      <c r="BT9" s="1">
        <v>0</v>
      </c>
      <c r="BU9" s="1">
        <v>3</v>
      </c>
      <c r="BV9" s="1">
        <v>0</v>
      </c>
      <c r="BW9" s="1">
        <v>0</v>
      </c>
      <c r="BX9" s="1">
        <v>0</v>
      </c>
      <c r="BY9" s="1">
        <v>0</v>
      </c>
      <c r="BZ9" s="1">
        <v>2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</row>
    <row r="10" spans="1:90">
      <c r="A10" s="1" t="s">
        <v>736</v>
      </c>
      <c r="B10" s="1" t="s">
        <v>798</v>
      </c>
      <c r="C10" s="1" t="s">
        <v>788</v>
      </c>
      <c r="D10" s="1" t="s">
        <v>685</v>
      </c>
      <c r="E10" s="1" t="s">
        <v>685</v>
      </c>
      <c r="F10" s="1" t="s">
        <v>3031</v>
      </c>
      <c r="G10" s="77">
        <f t="shared" si="0"/>
        <v>97547</v>
      </c>
      <c r="H10" s="1">
        <v>91721</v>
      </c>
      <c r="I10" s="1">
        <v>10</v>
      </c>
      <c r="J10" s="1">
        <v>15</v>
      </c>
      <c r="K10" s="1">
        <v>293</v>
      </c>
      <c r="L10" s="1">
        <v>34</v>
      </c>
      <c r="M10" s="1">
        <v>2</v>
      </c>
      <c r="N10" s="1">
        <v>4815</v>
      </c>
      <c r="O10" s="1">
        <v>11</v>
      </c>
      <c r="P10" s="1">
        <v>60</v>
      </c>
      <c r="Q10" s="1">
        <v>19</v>
      </c>
      <c r="R10" s="1">
        <v>63</v>
      </c>
      <c r="S10" s="1">
        <v>4</v>
      </c>
      <c r="T10" s="1">
        <v>30</v>
      </c>
      <c r="U10" s="1">
        <v>15</v>
      </c>
      <c r="V10" s="1">
        <v>17</v>
      </c>
      <c r="W10" s="1">
        <v>100</v>
      </c>
      <c r="X10" s="1">
        <v>0</v>
      </c>
      <c r="Y10" s="1">
        <v>0</v>
      </c>
      <c r="Z10" s="1">
        <v>0</v>
      </c>
      <c r="AA10" s="1">
        <v>15</v>
      </c>
      <c r="AB10" s="1">
        <v>0</v>
      </c>
      <c r="AC10" s="1">
        <v>104</v>
      </c>
      <c r="AD10" s="1">
        <v>0</v>
      </c>
      <c r="AE10" s="1">
        <v>13</v>
      </c>
      <c r="AF10" s="1">
        <v>6</v>
      </c>
      <c r="AG10" s="1">
        <v>36</v>
      </c>
      <c r="AH10" s="1">
        <v>25</v>
      </c>
      <c r="AI10" s="1">
        <v>0</v>
      </c>
      <c r="AJ10" s="1">
        <v>0</v>
      </c>
      <c r="AK10" s="1">
        <v>0</v>
      </c>
      <c r="AL10" s="1">
        <v>36</v>
      </c>
      <c r="AM10" s="1">
        <v>0</v>
      </c>
      <c r="AN10" s="1">
        <v>16</v>
      </c>
      <c r="AO10" s="1">
        <v>0</v>
      </c>
      <c r="AP10" s="1">
        <v>0</v>
      </c>
      <c r="AQ10" s="1">
        <v>0</v>
      </c>
      <c r="AR10" s="1">
        <v>17</v>
      </c>
      <c r="AS10" s="1">
        <v>0</v>
      </c>
      <c r="AT10" s="1">
        <v>10</v>
      </c>
      <c r="AU10" s="1">
        <v>0</v>
      </c>
      <c r="AV10" s="1">
        <v>8</v>
      </c>
      <c r="AW10" s="1">
        <v>9</v>
      </c>
      <c r="AX10" s="1">
        <v>13</v>
      </c>
      <c r="AY10" s="1">
        <v>1</v>
      </c>
      <c r="AZ10" s="1">
        <v>10</v>
      </c>
      <c r="BA10" s="1">
        <v>0</v>
      </c>
      <c r="BB10" s="1">
        <v>0</v>
      </c>
      <c r="BC10" s="1">
        <v>0</v>
      </c>
      <c r="BD10" s="1">
        <v>3</v>
      </c>
      <c r="BE10" s="1">
        <v>0</v>
      </c>
      <c r="BF10" s="1">
        <v>3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1</v>
      </c>
      <c r="BM10" s="1">
        <v>0</v>
      </c>
      <c r="BN10" s="1">
        <v>0</v>
      </c>
      <c r="BO10" s="1">
        <v>0</v>
      </c>
      <c r="BP10" s="1">
        <v>0</v>
      </c>
      <c r="BQ10" s="1">
        <v>1</v>
      </c>
      <c r="BR10" s="1">
        <v>0</v>
      </c>
      <c r="BS10" s="1">
        <v>3</v>
      </c>
      <c r="BT10" s="1">
        <v>3</v>
      </c>
      <c r="BU10" s="1">
        <v>0</v>
      </c>
      <c r="BV10" s="1">
        <v>0</v>
      </c>
      <c r="BW10" s="1">
        <v>2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1</v>
      </c>
      <c r="CD10" s="1">
        <v>0</v>
      </c>
      <c r="CE10" s="1">
        <v>0</v>
      </c>
      <c r="CF10" s="1">
        <v>0</v>
      </c>
      <c r="CG10" s="1">
        <v>0</v>
      </c>
      <c r="CH10" s="1">
        <v>1</v>
      </c>
      <c r="CI10" s="1">
        <v>1</v>
      </c>
      <c r="CJ10" s="1">
        <v>0</v>
      </c>
      <c r="CK10" s="1">
        <v>0</v>
      </c>
      <c r="CL10" s="1">
        <v>0</v>
      </c>
    </row>
    <row r="11" spans="1:90">
      <c r="A11" s="1" t="s">
        <v>735</v>
      </c>
      <c r="B11" s="1" t="s">
        <v>797</v>
      </c>
      <c r="C11" s="1" t="s">
        <v>788</v>
      </c>
      <c r="D11" s="1" t="s">
        <v>685</v>
      </c>
      <c r="E11" s="1" t="s">
        <v>685</v>
      </c>
      <c r="F11" s="1" t="s">
        <v>3031</v>
      </c>
      <c r="G11" s="77">
        <f t="shared" si="0"/>
        <v>102147</v>
      </c>
      <c r="H11" s="1">
        <v>39</v>
      </c>
      <c r="I11" s="1">
        <v>0</v>
      </c>
      <c r="J11" s="1">
        <v>120</v>
      </c>
      <c r="K11" s="1">
        <v>7175</v>
      </c>
      <c r="L11" s="1">
        <v>61346</v>
      </c>
      <c r="M11" s="1">
        <v>31564</v>
      </c>
      <c r="N11" s="1">
        <v>2</v>
      </c>
      <c r="O11" s="1">
        <v>0</v>
      </c>
      <c r="P11" s="1">
        <v>478</v>
      </c>
      <c r="Q11" s="1">
        <v>63</v>
      </c>
      <c r="R11" s="1">
        <v>285</v>
      </c>
      <c r="S11" s="1">
        <v>0</v>
      </c>
      <c r="T11" s="1">
        <v>308</v>
      </c>
      <c r="U11" s="1">
        <v>117</v>
      </c>
      <c r="V11" s="1">
        <v>156</v>
      </c>
      <c r="W11" s="1">
        <v>29</v>
      </c>
      <c r="X11" s="1">
        <v>0</v>
      </c>
      <c r="Y11" s="1">
        <v>0</v>
      </c>
      <c r="Z11" s="1">
        <v>3</v>
      </c>
      <c r="AA11" s="1">
        <v>232</v>
      </c>
      <c r="AB11" s="1">
        <v>0</v>
      </c>
      <c r="AC11" s="1">
        <v>17</v>
      </c>
      <c r="AD11" s="1">
        <v>0</v>
      </c>
      <c r="AE11" s="1">
        <v>64</v>
      </c>
      <c r="AF11" s="1">
        <v>0</v>
      </c>
      <c r="AG11" s="1">
        <v>13</v>
      </c>
      <c r="AH11" s="1">
        <v>0</v>
      </c>
      <c r="AI11" s="1">
        <v>0</v>
      </c>
      <c r="AJ11" s="1">
        <v>0</v>
      </c>
      <c r="AK11" s="1">
        <v>102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14</v>
      </c>
      <c r="AZ11" s="1">
        <v>4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1</v>
      </c>
      <c r="BI11" s="1">
        <v>0</v>
      </c>
      <c r="BJ11" s="1">
        <v>1</v>
      </c>
      <c r="BK11" s="1">
        <v>0</v>
      </c>
      <c r="BL11" s="1">
        <v>1</v>
      </c>
      <c r="BM11" s="1">
        <v>0</v>
      </c>
      <c r="BN11" s="1">
        <v>7</v>
      </c>
      <c r="BO11" s="1">
        <v>5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1</v>
      </c>
      <c r="CK11" s="1">
        <v>0</v>
      </c>
      <c r="CL11" s="1">
        <v>0</v>
      </c>
    </row>
    <row r="12" spans="1:90">
      <c r="A12" s="1" t="s">
        <v>734</v>
      </c>
      <c r="B12" s="1" t="s">
        <v>796</v>
      </c>
      <c r="C12" s="1" t="s">
        <v>788</v>
      </c>
      <c r="D12" s="1" t="s">
        <v>685</v>
      </c>
      <c r="E12" s="1" t="s">
        <v>685</v>
      </c>
      <c r="F12" s="1" t="s">
        <v>3031</v>
      </c>
      <c r="G12" s="77">
        <f t="shared" si="0"/>
        <v>117057</v>
      </c>
      <c r="H12" s="1">
        <v>209</v>
      </c>
      <c r="I12" s="1">
        <v>113678</v>
      </c>
      <c r="J12" s="1">
        <v>47</v>
      </c>
      <c r="K12" s="1">
        <v>16</v>
      </c>
      <c r="L12" s="1">
        <v>741</v>
      </c>
      <c r="M12" s="1">
        <v>389</v>
      </c>
      <c r="N12" s="1">
        <v>0</v>
      </c>
      <c r="O12" s="1">
        <v>0</v>
      </c>
      <c r="P12" s="1">
        <v>286</v>
      </c>
      <c r="Q12" s="1">
        <v>0</v>
      </c>
      <c r="R12" s="1">
        <v>445</v>
      </c>
      <c r="S12" s="1">
        <v>0</v>
      </c>
      <c r="T12" s="1">
        <v>0</v>
      </c>
      <c r="U12" s="1">
        <v>2</v>
      </c>
      <c r="V12" s="1">
        <v>0</v>
      </c>
      <c r="W12" s="1">
        <v>0</v>
      </c>
      <c r="X12" s="1">
        <v>320</v>
      </c>
      <c r="Y12" s="1">
        <v>0</v>
      </c>
      <c r="Z12" s="1">
        <v>0</v>
      </c>
      <c r="AA12" s="1">
        <v>0</v>
      </c>
      <c r="AB12" s="1">
        <v>265</v>
      </c>
      <c r="AC12" s="1">
        <v>0</v>
      </c>
      <c r="AD12" s="1">
        <v>200</v>
      </c>
      <c r="AE12" s="1">
        <v>0</v>
      </c>
      <c r="AF12" s="1">
        <v>0</v>
      </c>
      <c r="AG12" s="1">
        <v>0</v>
      </c>
      <c r="AH12" s="1">
        <v>52</v>
      </c>
      <c r="AI12" s="1">
        <v>109</v>
      </c>
      <c r="AJ12" s="1">
        <v>107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44</v>
      </c>
      <c r="AQ12" s="1">
        <v>40</v>
      </c>
      <c r="AR12" s="1">
        <v>0</v>
      </c>
      <c r="AS12" s="1">
        <v>33</v>
      </c>
      <c r="AT12" s="1">
        <v>0</v>
      </c>
      <c r="AU12" s="1">
        <v>28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19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10</v>
      </c>
      <c r="BI12" s="1">
        <v>0</v>
      </c>
      <c r="BJ12" s="1">
        <v>7</v>
      </c>
      <c r="BK12" s="1">
        <v>0</v>
      </c>
      <c r="BL12" s="1">
        <v>6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2</v>
      </c>
      <c r="BZ12" s="1">
        <v>0</v>
      </c>
      <c r="CA12" s="1">
        <v>0</v>
      </c>
      <c r="CB12" s="1">
        <v>0</v>
      </c>
      <c r="CC12" s="1">
        <v>0</v>
      </c>
      <c r="CD12" s="1">
        <v>1</v>
      </c>
      <c r="CE12" s="1">
        <v>1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</row>
    <row r="13" spans="1:90">
      <c r="A13" s="1" t="s">
        <v>733</v>
      </c>
      <c r="B13" s="1" t="s">
        <v>795</v>
      </c>
      <c r="C13" s="1" t="s">
        <v>785</v>
      </c>
      <c r="D13" s="1" t="s">
        <v>685</v>
      </c>
      <c r="E13" s="1" t="s">
        <v>685</v>
      </c>
      <c r="F13" s="1" t="s">
        <v>3031</v>
      </c>
      <c r="G13" s="77">
        <f t="shared" si="0"/>
        <v>67</v>
      </c>
      <c r="H13" s="1">
        <v>0</v>
      </c>
      <c r="I13" s="1">
        <v>65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</row>
    <row r="14" spans="1:90">
      <c r="A14" s="1" t="s">
        <v>748</v>
      </c>
      <c r="B14" s="1" t="s">
        <v>794</v>
      </c>
      <c r="C14" s="1" t="s">
        <v>788</v>
      </c>
      <c r="D14" s="1">
        <v>114.29510000000001</v>
      </c>
      <c r="E14" s="1">
        <v>22.340879999999999</v>
      </c>
      <c r="F14" s="1" t="s">
        <v>3031</v>
      </c>
      <c r="G14" s="77">
        <f t="shared" si="0"/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</row>
    <row r="15" spans="1:90">
      <c r="A15" s="1" t="s">
        <v>747</v>
      </c>
      <c r="B15" s="1" t="s">
        <v>793</v>
      </c>
      <c r="C15" s="1" t="s">
        <v>788</v>
      </c>
      <c r="D15" s="1">
        <v>114.29510000000001</v>
      </c>
      <c r="E15" s="1">
        <v>22.340879999999999</v>
      </c>
      <c r="F15" s="1" t="s">
        <v>3031</v>
      </c>
      <c r="G15" s="77">
        <f t="shared" si="0"/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</row>
    <row r="16" spans="1:90">
      <c r="A16" s="1" t="s">
        <v>746</v>
      </c>
      <c r="B16" s="1" t="s">
        <v>792</v>
      </c>
      <c r="C16" s="1" t="s">
        <v>785</v>
      </c>
      <c r="D16" s="1" t="s">
        <v>685</v>
      </c>
      <c r="E16" s="1" t="s">
        <v>685</v>
      </c>
      <c r="F16" s="1" t="s">
        <v>3031</v>
      </c>
      <c r="G16" s="77">
        <f t="shared" si="0"/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</row>
    <row r="17" spans="1:90">
      <c r="A17" s="1" t="s">
        <v>745</v>
      </c>
      <c r="B17" s="1" t="s">
        <v>791</v>
      </c>
      <c r="C17" s="1" t="s">
        <v>785</v>
      </c>
      <c r="D17" s="1" t="s">
        <v>685</v>
      </c>
      <c r="E17" s="1" t="s">
        <v>685</v>
      </c>
      <c r="F17" s="1" t="s">
        <v>3031</v>
      </c>
      <c r="G17" s="77">
        <f t="shared" si="0"/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</row>
    <row r="18" spans="1:90">
      <c r="A18" s="1" t="s">
        <v>744</v>
      </c>
      <c r="B18" s="1" t="s">
        <v>790</v>
      </c>
      <c r="C18" s="1" t="s">
        <v>785</v>
      </c>
      <c r="D18" s="1" t="s">
        <v>685</v>
      </c>
      <c r="E18" s="1" t="s">
        <v>685</v>
      </c>
      <c r="F18" s="1" t="s">
        <v>3031</v>
      </c>
      <c r="G18" s="77">
        <f t="shared" si="0"/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</row>
    <row r="19" spans="1:90">
      <c r="A19" s="1" t="s">
        <v>743</v>
      </c>
      <c r="B19" s="1" t="s">
        <v>789</v>
      </c>
      <c r="C19" s="1" t="s">
        <v>788</v>
      </c>
      <c r="D19" s="1">
        <v>114.432</v>
      </c>
      <c r="E19" s="1">
        <v>22.368670000000002</v>
      </c>
      <c r="F19" s="1" t="s">
        <v>3031</v>
      </c>
      <c r="G19" s="77">
        <f t="shared" si="0"/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</row>
    <row r="20" spans="1:90">
      <c r="A20" s="1" t="s">
        <v>742</v>
      </c>
      <c r="B20" s="1" t="s">
        <v>787</v>
      </c>
      <c r="C20" s="1" t="s">
        <v>785</v>
      </c>
      <c r="D20" s="1" t="s">
        <v>685</v>
      </c>
      <c r="E20" s="1" t="s">
        <v>685</v>
      </c>
      <c r="F20" s="1" t="s">
        <v>3031</v>
      </c>
      <c r="G20" s="77">
        <f t="shared" si="0"/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</row>
    <row r="21" spans="1:90">
      <c r="A21" s="1" t="s">
        <v>741</v>
      </c>
      <c r="B21" s="1" t="s">
        <v>786</v>
      </c>
      <c r="C21" s="1" t="s">
        <v>785</v>
      </c>
      <c r="D21" s="1" t="s">
        <v>685</v>
      </c>
      <c r="E21" s="1" t="s">
        <v>685</v>
      </c>
      <c r="F21" s="1" t="s">
        <v>3031</v>
      </c>
      <c r="G21" s="77">
        <f t="shared" si="0"/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</row>
    <row r="23" spans="1:90" s="8" customFormat="1">
      <c r="F23" s="67" t="s">
        <v>653</v>
      </c>
      <c r="G23" s="68">
        <f t="shared" ref="G23:AL23" si="1">SUM(G6:G21)</f>
        <v>695225</v>
      </c>
      <c r="H23" s="68">
        <f t="shared" si="1"/>
        <v>236166</v>
      </c>
      <c r="I23" s="68">
        <f t="shared" si="1"/>
        <v>113754</v>
      </c>
      <c r="J23" s="68">
        <f t="shared" si="1"/>
        <v>110562</v>
      </c>
      <c r="K23" s="68">
        <f t="shared" si="1"/>
        <v>90187</v>
      </c>
      <c r="L23" s="68">
        <f t="shared" si="1"/>
        <v>62127</v>
      </c>
      <c r="M23" s="68">
        <f t="shared" si="1"/>
        <v>31965</v>
      </c>
      <c r="N23" s="68">
        <f t="shared" si="1"/>
        <v>19806</v>
      </c>
      <c r="O23" s="68">
        <f t="shared" si="1"/>
        <v>13968</v>
      </c>
      <c r="P23" s="68">
        <f t="shared" si="1"/>
        <v>2691</v>
      </c>
      <c r="Q23" s="68">
        <f t="shared" si="1"/>
        <v>2415</v>
      </c>
      <c r="R23" s="68">
        <f t="shared" si="1"/>
        <v>2240</v>
      </c>
      <c r="S23" s="68">
        <f t="shared" si="1"/>
        <v>2159</v>
      </c>
      <c r="T23" s="68">
        <f t="shared" si="1"/>
        <v>1986</v>
      </c>
      <c r="U23" s="68">
        <f t="shared" si="1"/>
        <v>722</v>
      </c>
      <c r="V23" s="68">
        <f t="shared" si="1"/>
        <v>514</v>
      </c>
      <c r="W23" s="68">
        <f t="shared" si="1"/>
        <v>322</v>
      </c>
      <c r="X23" s="68">
        <f t="shared" si="1"/>
        <v>320</v>
      </c>
      <c r="Y23" s="68">
        <f t="shared" si="1"/>
        <v>306</v>
      </c>
      <c r="Z23" s="68">
        <f t="shared" si="1"/>
        <v>284</v>
      </c>
      <c r="AA23" s="68">
        <f t="shared" si="1"/>
        <v>271</v>
      </c>
      <c r="AB23" s="68">
        <f t="shared" si="1"/>
        <v>265</v>
      </c>
      <c r="AC23" s="68">
        <f t="shared" si="1"/>
        <v>258</v>
      </c>
      <c r="AD23" s="68">
        <f t="shared" si="1"/>
        <v>201</v>
      </c>
      <c r="AE23" s="68">
        <f t="shared" si="1"/>
        <v>188</v>
      </c>
      <c r="AF23" s="68">
        <f t="shared" si="1"/>
        <v>164</v>
      </c>
      <c r="AG23" s="68">
        <f t="shared" si="1"/>
        <v>145</v>
      </c>
      <c r="AH23" s="68">
        <f t="shared" si="1"/>
        <v>111</v>
      </c>
      <c r="AI23" s="68">
        <f t="shared" si="1"/>
        <v>109</v>
      </c>
      <c r="AJ23" s="68">
        <f t="shared" si="1"/>
        <v>107</v>
      </c>
      <c r="AK23" s="68">
        <f t="shared" si="1"/>
        <v>102</v>
      </c>
      <c r="AL23" s="68">
        <f t="shared" si="1"/>
        <v>77</v>
      </c>
      <c r="AM23" s="68">
        <f t="shared" ref="AM23:BR23" si="2">SUM(AM6:AM21)</f>
        <v>63</v>
      </c>
      <c r="AN23" s="68">
        <f t="shared" si="2"/>
        <v>61</v>
      </c>
      <c r="AO23" s="68">
        <f t="shared" si="2"/>
        <v>45</v>
      </c>
      <c r="AP23" s="68">
        <f t="shared" si="2"/>
        <v>44</v>
      </c>
      <c r="AQ23" s="68">
        <f t="shared" si="2"/>
        <v>40</v>
      </c>
      <c r="AR23" s="68">
        <f t="shared" si="2"/>
        <v>35</v>
      </c>
      <c r="AS23" s="68">
        <f t="shared" si="2"/>
        <v>33</v>
      </c>
      <c r="AT23" s="68">
        <f t="shared" si="2"/>
        <v>32</v>
      </c>
      <c r="AU23" s="68">
        <f t="shared" si="2"/>
        <v>28</v>
      </c>
      <c r="AV23" s="68">
        <f t="shared" si="2"/>
        <v>26</v>
      </c>
      <c r="AW23" s="68">
        <f t="shared" si="2"/>
        <v>26</v>
      </c>
      <c r="AX23" s="68">
        <f t="shared" si="2"/>
        <v>25</v>
      </c>
      <c r="AY23" s="68">
        <f t="shared" si="2"/>
        <v>24</v>
      </c>
      <c r="AZ23" s="68">
        <f t="shared" si="2"/>
        <v>24</v>
      </c>
      <c r="BA23" s="68">
        <f t="shared" si="2"/>
        <v>21</v>
      </c>
      <c r="BB23" s="68">
        <f t="shared" si="2"/>
        <v>19</v>
      </c>
      <c r="BC23" s="68">
        <f t="shared" si="2"/>
        <v>17</v>
      </c>
      <c r="BD23" s="68">
        <f t="shared" si="2"/>
        <v>17</v>
      </c>
      <c r="BE23" s="68">
        <f t="shared" si="2"/>
        <v>14</v>
      </c>
      <c r="BF23" s="68">
        <f t="shared" si="2"/>
        <v>14</v>
      </c>
      <c r="BG23" s="68">
        <f t="shared" si="2"/>
        <v>13</v>
      </c>
      <c r="BH23" s="68">
        <f t="shared" si="2"/>
        <v>12</v>
      </c>
      <c r="BI23" s="68">
        <f t="shared" si="2"/>
        <v>12</v>
      </c>
      <c r="BJ23" s="68">
        <f t="shared" si="2"/>
        <v>10</v>
      </c>
      <c r="BK23" s="68">
        <f t="shared" si="2"/>
        <v>8</v>
      </c>
      <c r="BL23" s="68">
        <f t="shared" si="2"/>
        <v>8</v>
      </c>
      <c r="BM23" s="68">
        <f t="shared" si="2"/>
        <v>8</v>
      </c>
      <c r="BN23" s="68">
        <f t="shared" si="2"/>
        <v>7</v>
      </c>
      <c r="BO23" s="68">
        <f t="shared" si="2"/>
        <v>5</v>
      </c>
      <c r="BP23" s="68">
        <f t="shared" si="2"/>
        <v>4</v>
      </c>
      <c r="BQ23" s="68">
        <f t="shared" si="2"/>
        <v>4</v>
      </c>
      <c r="BR23" s="68">
        <f t="shared" si="2"/>
        <v>3</v>
      </c>
      <c r="BS23" s="68">
        <f t="shared" ref="BS23:CL23" si="3">SUM(BS6:BS21)</f>
        <v>3</v>
      </c>
      <c r="BT23" s="68">
        <f t="shared" si="3"/>
        <v>3</v>
      </c>
      <c r="BU23" s="68">
        <f t="shared" si="3"/>
        <v>3</v>
      </c>
      <c r="BV23" s="68">
        <f t="shared" si="3"/>
        <v>2</v>
      </c>
      <c r="BW23" s="68">
        <f t="shared" si="3"/>
        <v>2</v>
      </c>
      <c r="BX23" s="68">
        <f t="shared" si="3"/>
        <v>2</v>
      </c>
      <c r="BY23" s="68">
        <f t="shared" si="3"/>
        <v>2</v>
      </c>
      <c r="BZ23" s="68">
        <f t="shared" si="3"/>
        <v>2</v>
      </c>
      <c r="CA23" s="68">
        <f t="shared" si="3"/>
        <v>1</v>
      </c>
      <c r="CB23" s="68">
        <f t="shared" si="3"/>
        <v>1</v>
      </c>
      <c r="CC23" s="68">
        <f t="shared" si="3"/>
        <v>1</v>
      </c>
      <c r="CD23" s="68">
        <f t="shared" si="3"/>
        <v>1</v>
      </c>
      <c r="CE23" s="68">
        <f t="shared" si="3"/>
        <v>1</v>
      </c>
      <c r="CF23" s="68">
        <f t="shared" si="3"/>
        <v>1</v>
      </c>
      <c r="CG23" s="68">
        <f t="shared" si="3"/>
        <v>1</v>
      </c>
      <c r="CH23" s="68">
        <f t="shared" si="3"/>
        <v>1</v>
      </c>
      <c r="CI23" s="68">
        <f t="shared" si="3"/>
        <v>1</v>
      </c>
      <c r="CJ23" s="68">
        <f t="shared" si="3"/>
        <v>1</v>
      </c>
      <c r="CK23" s="68">
        <f t="shared" si="3"/>
        <v>1</v>
      </c>
      <c r="CL23" s="68">
        <f t="shared" si="3"/>
        <v>1</v>
      </c>
    </row>
    <row r="24" spans="1:90">
      <c r="A24" s="1" t="s">
        <v>3024</v>
      </c>
    </row>
    <row r="25" spans="1:90">
      <c r="F25" s="66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5B4C-8144-8C43-B010-D444E21509A6}">
  <dimension ref="A1:DJ20"/>
  <sheetViews>
    <sheetView zoomScale="150" zoomScaleNormal="150" workbookViewId="0">
      <pane xSplit="7" ySplit="5" topLeftCell="DG6" activePane="bottomRight" state="frozen"/>
      <selection pane="topRight" activeCell="F1" sqref="F1"/>
      <selection pane="bottomLeft" activeCell="A5" sqref="A5"/>
      <selection pane="bottomRight" activeCell="F6" sqref="F6:F17"/>
    </sheetView>
  </sheetViews>
  <sheetFormatPr baseColWidth="10" defaultRowHeight="16"/>
  <cols>
    <col min="1" max="1" width="10.5" style="1" customWidth="1"/>
    <col min="2" max="2" width="15" style="1" customWidth="1"/>
    <col min="3" max="3" width="13.33203125" style="1" customWidth="1"/>
    <col min="4" max="5" width="9.33203125" style="1" customWidth="1"/>
    <col min="6" max="6" width="18.83203125" style="1" customWidth="1"/>
    <col min="7" max="7" width="10.6640625" style="1" customWidth="1"/>
    <col min="8" max="9" width="11" style="1" customWidth="1"/>
    <col min="10" max="16384" width="10.83203125" style="1"/>
  </cols>
  <sheetData>
    <row r="1" spans="1:114">
      <c r="G1" s="13" t="s">
        <v>1103</v>
      </c>
    </row>
    <row r="2" spans="1:114">
      <c r="G2" s="13" t="s">
        <v>1102</v>
      </c>
      <c r="I2" s="1" t="s">
        <v>165</v>
      </c>
      <c r="J2" s="1" t="s">
        <v>165</v>
      </c>
      <c r="K2" s="1" t="s">
        <v>165</v>
      </c>
      <c r="L2" s="1" t="s">
        <v>165</v>
      </c>
      <c r="M2" s="1" t="s">
        <v>165</v>
      </c>
      <c r="N2" s="1" t="s">
        <v>165</v>
      </c>
      <c r="O2" s="1" t="s">
        <v>165</v>
      </c>
      <c r="P2" s="1" t="s">
        <v>165</v>
      </c>
      <c r="Q2" s="1" t="s">
        <v>165</v>
      </c>
      <c r="R2" s="1" t="s">
        <v>165</v>
      </c>
      <c r="S2" s="1" t="s">
        <v>165</v>
      </c>
      <c r="T2" s="1" t="s">
        <v>165</v>
      </c>
      <c r="U2" s="1" t="s">
        <v>165</v>
      </c>
      <c r="V2" s="1" t="s">
        <v>165</v>
      </c>
      <c r="W2" s="1" t="s">
        <v>269</v>
      </c>
      <c r="X2" s="1" t="s">
        <v>1724</v>
      </c>
      <c r="Y2" s="1" t="s">
        <v>522</v>
      </c>
      <c r="AA2" s="1" t="s">
        <v>165</v>
      </c>
      <c r="AB2" s="1" t="s">
        <v>512</v>
      </c>
      <c r="AD2" s="1" t="s">
        <v>165</v>
      </c>
      <c r="AE2" s="1" t="s">
        <v>165</v>
      </c>
      <c r="AF2" s="1" t="s">
        <v>165</v>
      </c>
      <c r="AG2" s="1" t="s">
        <v>512</v>
      </c>
      <c r="AI2" s="1" t="s">
        <v>512</v>
      </c>
      <c r="AJ2" s="1" t="s">
        <v>165</v>
      </c>
      <c r="AK2" s="1" t="s">
        <v>165</v>
      </c>
      <c r="AM2" s="1" t="s">
        <v>165</v>
      </c>
      <c r="AN2" s="1" t="s">
        <v>1724</v>
      </c>
      <c r="AO2" s="1" t="s">
        <v>165</v>
      </c>
      <c r="AQ2" s="1" t="s">
        <v>165</v>
      </c>
      <c r="AR2" s="1" t="s">
        <v>165</v>
      </c>
      <c r="AT2" s="1" t="s">
        <v>165</v>
      </c>
      <c r="AU2" s="1" t="s">
        <v>165</v>
      </c>
      <c r="AV2" s="1" t="s">
        <v>165</v>
      </c>
      <c r="AX2" s="1" t="s">
        <v>165</v>
      </c>
      <c r="AY2" s="1" t="s">
        <v>165</v>
      </c>
      <c r="AZ2" s="1" t="s">
        <v>1533</v>
      </c>
      <c r="BA2" s="1" t="s">
        <v>165</v>
      </c>
      <c r="BB2" s="1" t="s">
        <v>165</v>
      </c>
      <c r="BD2" s="1" t="s">
        <v>165</v>
      </c>
      <c r="BE2" s="1" t="s">
        <v>165</v>
      </c>
      <c r="BF2" s="1" t="s">
        <v>165</v>
      </c>
      <c r="BH2" s="1" t="s">
        <v>165</v>
      </c>
      <c r="BI2" s="1" t="s">
        <v>165</v>
      </c>
      <c r="BJ2" s="1" t="s">
        <v>165</v>
      </c>
      <c r="BM2" s="1" t="s">
        <v>165</v>
      </c>
      <c r="BN2" s="1" t="s">
        <v>165</v>
      </c>
      <c r="BO2" s="1" t="s">
        <v>165</v>
      </c>
      <c r="BT2" s="1" t="s">
        <v>1727</v>
      </c>
      <c r="BU2" s="1" t="s">
        <v>165</v>
      </c>
      <c r="BV2" s="1" t="s">
        <v>165</v>
      </c>
      <c r="BX2" s="1" t="s">
        <v>165</v>
      </c>
      <c r="CA2" s="1" t="s">
        <v>165</v>
      </c>
      <c r="CB2" s="1" t="s">
        <v>165</v>
      </c>
      <c r="CC2" s="1" t="s">
        <v>165</v>
      </c>
      <c r="CE2" s="1" t="s">
        <v>1726</v>
      </c>
      <c r="CF2" s="1" t="s">
        <v>165</v>
      </c>
      <c r="CH2" s="1" t="s">
        <v>1533</v>
      </c>
      <c r="CR2" s="1" t="s">
        <v>165</v>
      </c>
      <c r="CS2" s="1" t="s">
        <v>165</v>
      </c>
      <c r="CV2" s="1" t="s">
        <v>165</v>
      </c>
      <c r="CW2" s="1" t="s">
        <v>165</v>
      </c>
      <c r="DC2" s="1" t="s">
        <v>165</v>
      </c>
      <c r="DD2" s="1" t="s">
        <v>512</v>
      </c>
      <c r="DH2" s="1" t="s">
        <v>1725</v>
      </c>
      <c r="DI2" s="1" t="s">
        <v>1724</v>
      </c>
    </row>
    <row r="3" spans="1:114">
      <c r="F3" s="13"/>
      <c r="G3" s="13" t="s">
        <v>1101</v>
      </c>
      <c r="L3" s="1" t="s">
        <v>256</v>
      </c>
      <c r="T3" s="1" t="s">
        <v>256</v>
      </c>
      <c r="Y3" s="1" t="s">
        <v>521</v>
      </c>
      <c r="AB3" s="1" t="s">
        <v>511</v>
      </c>
      <c r="AG3" s="1" t="s">
        <v>511</v>
      </c>
      <c r="AI3" s="1" t="s">
        <v>511</v>
      </c>
      <c r="CB3" s="1" t="s">
        <v>256</v>
      </c>
    </row>
    <row r="4" spans="1:114">
      <c r="A4" s="13" t="s">
        <v>3026</v>
      </c>
      <c r="F4" s="13"/>
      <c r="G4" s="13" t="s">
        <v>1100</v>
      </c>
      <c r="H4" s="1" t="s">
        <v>1723</v>
      </c>
      <c r="I4" s="1" t="s">
        <v>1722</v>
      </c>
      <c r="J4" s="1" t="s">
        <v>1721</v>
      </c>
      <c r="K4" s="1" t="s">
        <v>1720</v>
      </c>
      <c r="L4" s="1" t="s">
        <v>1719</v>
      </c>
      <c r="M4" s="1" t="s">
        <v>1718</v>
      </c>
      <c r="N4" s="1" t="s">
        <v>1717</v>
      </c>
      <c r="O4" s="1" t="s">
        <v>1716</v>
      </c>
      <c r="P4" s="1" t="s">
        <v>1715</v>
      </c>
      <c r="Q4" s="1" t="s">
        <v>1714</v>
      </c>
      <c r="R4" s="1" t="s">
        <v>1713</v>
      </c>
      <c r="S4" s="1" t="s">
        <v>1712</v>
      </c>
      <c r="T4" s="1" t="s">
        <v>1711</v>
      </c>
      <c r="U4" s="1" t="s">
        <v>1710</v>
      </c>
      <c r="V4" s="1" t="s">
        <v>1709</v>
      </c>
      <c r="W4" s="1" t="s">
        <v>1708</v>
      </c>
      <c r="X4" s="1" t="s">
        <v>1707</v>
      </c>
      <c r="Y4" s="1" t="s">
        <v>1706</v>
      </c>
      <c r="Z4" s="1" t="s">
        <v>1705</v>
      </c>
      <c r="AA4" s="1" t="s">
        <v>1704</v>
      </c>
      <c r="AB4" s="1" t="s">
        <v>1703</v>
      </c>
      <c r="AC4" s="1" t="s">
        <v>1702</v>
      </c>
      <c r="AD4" s="1" t="s">
        <v>1701</v>
      </c>
      <c r="AE4" s="1" t="s">
        <v>1700</v>
      </c>
      <c r="AF4" s="1" t="s">
        <v>1699</v>
      </c>
      <c r="AG4" s="1" t="s">
        <v>1698</v>
      </c>
      <c r="AH4" s="1" t="s">
        <v>1697</v>
      </c>
      <c r="AI4" s="1" t="s">
        <v>1696</v>
      </c>
      <c r="AJ4" s="1" t="s">
        <v>1695</v>
      </c>
      <c r="AK4" s="1" t="s">
        <v>1694</v>
      </c>
      <c r="AL4" s="1" t="s">
        <v>1693</v>
      </c>
      <c r="AM4" s="1" t="s">
        <v>1692</v>
      </c>
      <c r="AN4" s="1" t="s">
        <v>1691</v>
      </c>
      <c r="AO4" s="1" t="s">
        <v>1690</v>
      </c>
      <c r="AP4" s="1" t="s">
        <v>1689</v>
      </c>
      <c r="AQ4" s="1" t="s">
        <v>1688</v>
      </c>
      <c r="AR4" s="1" t="s">
        <v>1687</v>
      </c>
      <c r="AS4" s="1" t="s">
        <v>1686</v>
      </c>
      <c r="AT4" s="1" t="s">
        <v>1685</v>
      </c>
      <c r="AU4" s="1" t="s">
        <v>1684</v>
      </c>
      <c r="AV4" s="1" t="s">
        <v>1683</v>
      </c>
      <c r="AW4" s="1" t="s">
        <v>1682</v>
      </c>
      <c r="AX4" s="1" t="s">
        <v>1681</v>
      </c>
      <c r="AY4" s="1" t="s">
        <v>1680</v>
      </c>
      <c r="AZ4" s="1" t="s">
        <v>1679</v>
      </c>
      <c r="BA4" s="1" t="s">
        <v>1678</v>
      </c>
      <c r="BB4" s="1" t="s">
        <v>1677</v>
      </c>
      <c r="BC4" s="1" t="s">
        <v>1676</v>
      </c>
      <c r="BD4" s="1" t="s">
        <v>1675</v>
      </c>
      <c r="BE4" s="1" t="s">
        <v>1674</v>
      </c>
      <c r="BF4" s="1" t="s">
        <v>1673</v>
      </c>
      <c r="BG4" s="1" t="s">
        <v>1672</v>
      </c>
      <c r="BH4" s="1" t="s">
        <v>1671</v>
      </c>
      <c r="BI4" s="1" t="s">
        <v>1670</v>
      </c>
      <c r="BJ4" s="1" t="s">
        <v>1669</v>
      </c>
      <c r="BK4" s="1" t="s">
        <v>1668</v>
      </c>
      <c r="BL4" s="1" t="s">
        <v>1667</v>
      </c>
      <c r="BM4" s="1" t="s">
        <v>1666</v>
      </c>
      <c r="BN4" s="1" t="s">
        <v>1665</v>
      </c>
      <c r="BO4" s="1" t="s">
        <v>1664</v>
      </c>
      <c r="BP4" s="1" t="s">
        <v>1663</v>
      </c>
      <c r="BQ4" s="1" t="s">
        <v>1662</v>
      </c>
      <c r="BR4" s="1" t="s">
        <v>1661</v>
      </c>
      <c r="BS4" s="1" t="s">
        <v>1660</v>
      </c>
      <c r="BT4" s="1" t="s">
        <v>1659</v>
      </c>
      <c r="BU4" s="1" t="s">
        <v>1658</v>
      </c>
      <c r="BV4" s="1" t="s">
        <v>1657</v>
      </c>
      <c r="BW4" s="1" t="s">
        <v>1656</v>
      </c>
      <c r="BX4" s="1" t="s">
        <v>1655</v>
      </c>
      <c r="BY4" s="1" t="s">
        <v>1654</v>
      </c>
      <c r="BZ4" s="1" t="s">
        <v>1653</v>
      </c>
      <c r="CA4" s="1" t="s">
        <v>1652</v>
      </c>
      <c r="CB4" s="1" t="s">
        <v>1651</v>
      </c>
      <c r="CC4" s="1" t="s">
        <v>1650</v>
      </c>
      <c r="CD4" s="1" t="s">
        <v>1649</v>
      </c>
      <c r="CE4" s="1" t="s">
        <v>1648</v>
      </c>
      <c r="CF4" s="1" t="s">
        <v>1647</v>
      </c>
      <c r="CG4" s="1" t="s">
        <v>1646</v>
      </c>
      <c r="CH4" s="1" t="s">
        <v>1645</v>
      </c>
      <c r="CI4" s="1" t="s">
        <v>1644</v>
      </c>
      <c r="CJ4" s="1" t="s">
        <v>1643</v>
      </c>
      <c r="CK4" s="1" t="s">
        <v>1642</v>
      </c>
      <c r="CL4" s="1" t="s">
        <v>1641</v>
      </c>
      <c r="CM4" s="1" t="s">
        <v>1640</v>
      </c>
      <c r="CN4" s="1" t="s">
        <v>1639</v>
      </c>
      <c r="CO4" s="1" t="s">
        <v>1638</v>
      </c>
      <c r="CP4" s="1" t="s">
        <v>1637</v>
      </c>
      <c r="CQ4" s="1" t="s">
        <v>1636</v>
      </c>
      <c r="CR4" s="1" t="s">
        <v>1635</v>
      </c>
      <c r="CS4" s="1" t="s">
        <v>1634</v>
      </c>
      <c r="CT4" s="1" t="s">
        <v>1633</v>
      </c>
      <c r="CU4" s="1" t="s">
        <v>1632</v>
      </c>
      <c r="CV4" s="1" t="s">
        <v>1631</v>
      </c>
      <c r="CW4" s="1" t="s">
        <v>1630</v>
      </c>
      <c r="CX4" s="1" t="s">
        <v>1629</v>
      </c>
      <c r="CY4" s="1" t="s">
        <v>1628</v>
      </c>
      <c r="CZ4" s="1" t="s">
        <v>1627</v>
      </c>
      <c r="DA4" s="1" t="s">
        <v>1626</v>
      </c>
      <c r="DB4" s="1" t="s">
        <v>1625</v>
      </c>
      <c r="DC4" s="1" t="s">
        <v>1624</v>
      </c>
      <c r="DD4" s="1" t="s">
        <v>1623</v>
      </c>
      <c r="DE4" s="1" t="s">
        <v>1622</v>
      </c>
      <c r="DF4" s="1" t="s">
        <v>1621</v>
      </c>
      <c r="DG4" s="1" t="s">
        <v>1620</v>
      </c>
      <c r="DH4" s="1" t="s">
        <v>1619</v>
      </c>
      <c r="DI4" s="1" t="s">
        <v>1618</v>
      </c>
      <c r="DJ4" s="1" t="s">
        <v>1617</v>
      </c>
    </row>
    <row r="5" spans="1:114" s="60" customFormat="1">
      <c r="A5" s="60" t="s">
        <v>954</v>
      </c>
      <c r="B5" s="60" t="s">
        <v>953</v>
      </c>
      <c r="C5" s="60" t="s">
        <v>952</v>
      </c>
      <c r="D5" s="60" t="s">
        <v>951</v>
      </c>
      <c r="E5" s="60" t="s">
        <v>950</v>
      </c>
      <c r="F5" s="60" t="s">
        <v>949</v>
      </c>
      <c r="G5" s="60" t="s">
        <v>948</v>
      </c>
      <c r="H5" s="60" t="s">
        <v>947</v>
      </c>
      <c r="I5" s="60" t="s">
        <v>946</v>
      </c>
      <c r="J5" s="60" t="s">
        <v>945</v>
      </c>
      <c r="K5" s="60" t="s">
        <v>944</v>
      </c>
      <c r="L5" s="60" t="s">
        <v>943</v>
      </c>
      <c r="M5" s="60" t="s">
        <v>942</v>
      </c>
      <c r="N5" s="60" t="s">
        <v>941</v>
      </c>
      <c r="O5" s="60" t="s">
        <v>940</v>
      </c>
      <c r="P5" s="60" t="s">
        <v>939</v>
      </c>
      <c r="Q5" s="60" t="s">
        <v>938</v>
      </c>
      <c r="R5" s="60" t="s">
        <v>937</v>
      </c>
      <c r="S5" s="60" t="s">
        <v>936</v>
      </c>
      <c r="T5" s="60" t="s">
        <v>935</v>
      </c>
      <c r="U5" s="60" t="s">
        <v>934</v>
      </c>
      <c r="V5" s="60" t="s">
        <v>933</v>
      </c>
      <c r="W5" s="60" t="s">
        <v>932</v>
      </c>
      <c r="X5" s="60" t="s">
        <v>931</v>
      </c>
      <c r="Y5" s="60" t="s">
        <v>930</v>
      </c>
      <c r="Z5" s="60" t="s">
        <v>929</v>
      </c>
      <c r="AA5" s="60" t="s">
        <v>928</v>
      </c>
      <c r="AB5" s="60" t="s">
        <v>927</v>
      </c>
      <c r="AC5" s="60" t="s">
        <v>926</v>
      </c>
      <c r="AD5" s="60" t="s">
        <v>925</v>
      </c>
      <c r="AE5" s="60" t="s">
        <v>924</v>
      </c>
      <c r="AF5" s="60" t="s">
        <v>923</v>
      </c>
      <c r="AG5" s="60" t="s">
        <v>922</v>
      </c>
      <c r="AH5" s="60" t="s">
        <v>921</v>
      </c>
      <c r="AI5" s="60" t="s">
        <v>920</v>
      </c>
      <c r="AJ5" s="60" t="s">
        <v>919</v>
      </c>
      <c r="AK5" s="60" t="s">
        <v>918</v>
      </c>
      <c r="AL5" s="60" t="s">
        <v>917</v>
      </c>
      <c r="AM5" s="60" t="s">
        <v>916</v>
      </c>
      <c r="AN5" s="60" t="s">
        <v>915</v>
      </c>
      <c r="AO5" s="60" t="s">
        <v>914</v>
      </c>
      <c r="AP5" s="60" t="s">
        <v>913</v>
      </c>
      <c r="AQ5" s="60" t="s">
        <v>912</v>
      </c>
      <c r="AR5" s="60" t="s">
        <v>911</v>
      </c>
      <c r="AS5" s="60" t="s">
        <v>910</v>
      </c>
      <c r="AT5" s="60" t="s">
        <v>909</v>
      </c>
      <c r="AU5" s="60" t="s">
        <v>908</v>
      </c>
      <c r="AV5" s="60" t="s">
        <v>907</v>
      </c>
      <c r="AW5" s="60" t="s">
        <v>906</v>
      </c>
      <c r="AX5" s="60" t="s">
        <v>905</v>
      </c>
      <c r="AY5" s="60" t="s">
        <v>904</v>
      </c>
      <c r="AZ5" s="60" t="s">
        <v>903</v>
      </c>
      <c r="BA5" s="60" t="s">
        <v>902</v>
      </c>
      <c r="BB5" s="60" t="s">
        <v>901</v>
      </c>
      <c r="BC5" s="60" t="s">
        <v>900</v>
      </c>
      <c r="BD5" s="60" t="s">
        <v>899</v>
      </c>
      <c r="BE5" s="60" t="s">
        <v>898</v>
      </c>
      <c r="BF5" s="60" t="s">
        <v>897</v>
      </c>
      <c r="BG5" s="60" t="s">
        <v>896</v>
      </c>
      <c r="BH5" s="60" t="s">
        <v>895</v>
      </c>
      <c r="BI5" s="60" t="s">
        <v>894</v>
      </c>
      <c r="BJ5" s="60" t="s">
        <v>893</v>
      </c>
      <c r="BK5" s="60" t="s">
        <v>892</v>
      </c>
      <c r="BL5" s="60" t="s">
        <v>891</v>
      </c>
      <c r="BM5" s="60" t="s">
        <v>890</v>
      </c>
      <c r="BN5" s="60" t="s">
        <v>889</v>
      </c>
      <c r="BO5" s="60" t="s">
        <v>888</v>
      </c>
      <c r="BP5" s="60" t="s">
        <v>887</v>
      </c>
      <c r="BQ5" s="60" t="s">
        <v>886</v>
      </c>
      <c r="BR5" s="60" t="s">
        <v>885</v>
      </c>
      <c r="BS5" s="60" t="s">
        <v>884</v>
      </c>
      <c r="BT5" s="60" t="s">
        <v>883</v>
      </c>
      <c r="BU5" s="60" t="s">
        <v>882</v>
      </c>
      <c r="BV5" s="60" t="s">
        <v>881</v>
      </c>
      <c r="BW5" s="60" t="s">
        <v>880</v>
      </c>
      <c r="BX5" s="60" t="s">
        <v>879</v>
      </c>
      <c r="BY5" s="60" t="s">
        <v>878</v>
      </c>
      <c r="BZ5" s="60" t="s">
        <v>877</v>
      </c>
      <c r="CA5" s="60" t="s">
        <v>876</v>
      </c>
      <c r="CB5" s="60" t="s">
        <v>875</v>
      </c>
      <c r="CC5" s="60" t="s">
        <v>874</v>
      </c>
      <c r="CD5" s="60" t="s">
        <v>873</v>
      </c>
      <c r="CE5" s="60" t="s">
        <v>872</v>
      </c>
      <c r="CF5" s="60" t="s">
        <v>871</v>
      </c>
      <c r="CG5" s="60" t="s">
        <v>870</v>
      </c>
      <c r="CH5" s="60" t="s">
        <v>869</v>
      </c>
      <c r="CI5" s="60" t="s">
        <v>868</v>
      </c>
      <c r="CJ5" s="60" t="s">
        <v>867</v>
      </c>
      <c r="CK5" s="60" t="s">
        <v>866</v>
      </c>
      <c r="CL5" s="60" t="s">
        <v>865</v>
      </c>
      <c r="CM5" s="60" t="s">
        <v>864</v>
      </c>
      <c r="CN5" s="60" t="s">
        <v>863</v>
      </c>
      <c r="CO5" s="60" t="s">
        <v>862</v>
      </c>
      <c r="CP5" s="60" t="s">
        <v>861</v>
      </c>
      <c r="CQ5" s="60" t="s">
        <v>860</v>
      </c>
      <c r="CR5" s="60" t="s">
        <v>859</v>
      </c>
      <c r="CS5" s="60" t="s">
        <v>858</v>
      </c>
      <c r="CT5" s="60" t="s">
        <v>857</v>
      </c>
      <c r="CU5" s="60" t="s">
        <v>856</v>
      </c>
      <c r="CV5" s="60" t="s">
        <v>855</v>
      </c>
      <c r="CW5" s="60" t="s">
        <v>854</v>
      </c>
      <c r="CX5" s="60" t="s">
        <v>853</v>
      </c>
      <c r="CY5" s="60" t="s">
        <v>852</v>
      </c>
      <c r="CZ5" s="60" t="s">
        <v>851</v>
      </c>
      <c r="DA5" s="60" t="s">
        <v>850</v>
      </c>
      <c r="DB5" s="60" t="s">
        <v>849</v>
      </c>
      <c r="DC5" s="60" t="s">
        <v>848</v>
      </c>
      <c r="DD5" s="60" t="s">
        <v>847</v>
      </c>
      <c r="DE5" s="60" t="s">
        <v>846</v>
      </c>
      <c r="DF5" s="60" t="s">
        <v>845</v>
      </c>
      <c r="DG5" s="60" t="s">
        <v>844</v>
      </c>
      <c r="DH5" s="60" t="s">
        <v>843</v>
      </c>
      <c r="DI5" s="60" t="s">
        <v>842</v>
      </c>
      <c r="DJ5" s="60" t="s">
        <v>841</v>
      </c>
    </row>
    <row r="6" spans="1:114">
      <c r="A6" s="1" t="s">
        <v>759</v>
      </c>
      <c r="B6" s="1" t="s">
        <v>802</v>
      </c>
      <c r="C6" s="1" t="s">
        <v>788</v>
      </c>
      <c r="D6" s="1" t="s">
        <v>685</v>
      </c>
      <c r="E6" s="1" t="s">
        <v>685</v>
      </c>
      <c r="F6" s="1" t="s">
        <v>3033</v>
      </c>
      <c r="G6" s="77">
        <f t="shared" ref="G6:G17" si="0">SUM(H6:DJ6)</f>
        <v>82593</v>
      </c>
      <c r="H6" s="1">
        <v>393</v>
      </c>
      <c r="I6" s="1">
        <v>37748</v>
      </c>
      <c r="J6" s="1">
        <v>306</v>
      </c>
      <c r="K6" s="1">
        <v>16</v>
      </c>
      <c r="L6" s="1">
        <v>10704</v>
      </c>
      <c r="M6" s="1">
        <v>15345</v>
      </c>
      <c r="N6" s="1">
        <v>8712</v>
      </c>
      <c r="O6" s="1">
        <v>700</v>
      </c>
      <c r="P6" s="1">
        <v>4511</v>
      </c>
      <c r="Q6" s="1">
        <v>1559</v>
      </c>
      <c r="R6" s="1">
        <v>3</v>
      </c>
      <c r="S6" s="1">
        <v>1</v>
      </c>
      <c r="T6" s="1">
        <v>639</v>
      </c>
      <c r="U6" s="1">
        <v>534</v>
      </c>
      <c r="V6" s="1">
        <v>675</v>
      </c>
      <c r="W6" s="1">
        <v>0</v>
      </c>
      <c r="X6" s="1">
        <v>152</v>
      </c>
      <c r="Y6" s="1">
        <v>0</v>
      </c>
      <c r="Z6" s="1">
        <v>0</v>
      </c>
      <c r="AA6" s="1">
        <v>1</v>
      </c>
      <c r="AB6" s="1">
        <v>0</v>
      </c>
      <c r="AC6" s="1">
        <v>55</v>
      </c>
      <c r="AD6" s="1">
        <v>23</v>
      </c>
      <c r="AE6" s="1">
        <v>8</v>
      </c>
      <c r="AF6" s="1">
        <v>4</v>
      </c>
      <c r="AG6" s="1">
        <v>0</v>
      </c>
      <c r="AH6" s="1">
        <v>0</v>
      </c>
      <c r="AI6" s="1">
        <v>0</v>
      </c>
      <c r="AJ6" s="1">
        <v>0</v>
      </c>
      <c r="AK6" s="1">
        <v>36</v>
      </c>
      <c r="AL6" s="1">
        <v>0</v>
      </c>
      <c r="AM6" s="1">
        <v>24</v>
      </c>
      <c r="AN6" s="1">
        <v>0</v>
      </c>
      <c r="AO6" s="1">
        <v>0</v>
      </c>
      <c r="AP6" s="1">
        <v>12</v>
      </c>
      <c r="AQ6" s="1">
        <v>23</v>
      </c>
      <c r="AR6" s="1">
        <v>32</v>
      </c>
      <c r="AS6" s="1">
        <v>0</v>
      </c>
      <c r="AT6" s="1">
        <v>62</v>
      </c>
      <c r="AU6" s="1">
        <v>26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19</v>
      </c>
      <c r="BE6" s="1">
        <v>0</v>
      </c>
      <c r="BF6" s="1">
        <v>0</v>
      </c>
      <c r="BG6" s="1">
        <v>0</v>
      </c>
      <c r="BH6" s="1">
        <v>0</v>
      </c>
      <c r="BI6" s="1">
        <v>43</v>
      </c>
      <c r="BJ6" s="1">
        <v>16</v>
      </c>
      <c r="BK6" s="1">
        <v>4</v>
      </c>
      <c r="BL6" s="1">
        <v>3</v>
      </c>
      <c r="BM6" s="1">
        <v>12</v>
      </c>
      <c r="BN6" s="1">
        <v>0</v>
      </c>
      <c r="BO6" s="1">
        <v>24</v>
      </c>
      <c r="BP6" s="1">
        <v>3</v>
      </c>
      <c r="BQ6" s="1">
        <v>0</v>
      </c>
      <c r="BR6" s="1">
        <v>0</v>
      </c>
      <c r="BS6" s="1">
        <v>8</v>
      </c>
      <c r="BT6" s="1">
        <v>0</v>
      </c>
      <c r="BU6" s="1">
        <v>16</v>
      </c>
      <c r="BV6" s="1">
        <v>20</v>
      </c>
      <c r="BW6" s="1">
        <v>0</v>
      </c>
      <c r="BX6" s="1">
        <v>1</v>
      </c>
      <c r="BY6" s="1">
        <v>11</v>
      </c>
      <c r="BZ6" s="1">
        <v>2</v>
      </c>
      <c r="CA6" s="1">
        <v>0</v>
      </c>
      <c r="CB6" s="1">
        <v>15</v>
      </c>
      <c r="CC6" s="1">
        <v>5</v>
      </c>
      <c r="CD6" s="1">
        <v>5</v>
      </c>
      <c r="CE6" s="1">
        <v>7</v>
      </c>
      <c r="CF6" s="1">
        <v>20</v>
      </c>
      <c r="CG6" s="1">
        <v>0</v>
      </c>
      <c r="CH6" s="1">
        <v>0</v>
      </c>
      <c r="CI6" s="1">
        <v>0</v>
      </c>
      <c r="CJ6" s="1">
        <v>5</v>
      </c>
      <c r="CK6" s="1">
        <v>1</v>
      </c>
      <c r="CL6" s="1">
        <v>0</v>
      </c>
      <c r="CM6" s="1">
        <v>3</v>
      </c>
      <c r="CN6" s="1">
        <v>0</v>
      </c>
      <c r="CO6" s="1">
        <v>0</v>
      </c>
      <c r="CP6" s="1">
        <v>4</v>
      </c>
      <c r="CQ6" s="1">
        <v>0</v>
      </c>
      <c r="CR6" s="1">
        <v>18</v>
      </c>
      <c r="CS6" s="1">
        <v>0</v>
      </c>
      <c r="CT6" s="1">
        <v>0</v>
      </c>
      <c r="CU6" s="1">
        <v>4</v>
      </c>
      <c r="CV6" s="1">
        <v>0</v>
      </c>
      <c r="CW6" s="1">
        <v>3</v>
      </c>
      <c r="CX6" s="1">
        <v>2</v>
      </c>
      <c r="CY6" s="1">
        <v>1</v>
      </c>
      <c r="CZ6" s="1">
        <v>2</v>
      </c>
      <c r="DA6" s="1">
        <v>0</v>
      </c>
      <c r="DB6" s="1">
        <v>0</v>
      </c>
      <c r="DC6" s="1">
        <v>0</v>
      </c>
      <c r="DD6" s="1">
        <v>0</v>
      </c>
      <c r="DE6" s="1">
        <v>6</v>
      </c>
      <c r="DF6" s="1">
        <v>5</v>
      </c>
      <c r="DG6" s="1">
        <v>1</v>
      </c>
      <c r="DH6" s="1">
        <v>0</v>
      </c>
      <c r="DI6" s="1">
        <v>0</v>
      </c>
      <c r="DJ6" s="1">
        <v>0</v>
      </c>
    </row>
    <row r="7" spans="1:114">
      <c r="A7" s="1" t="s">
        <v>758</v>
      </c>
      <c r="B7" s="1" t="s">
        <v>801</v>
      </c>
      <c r="C7" s="1" t="s">
        <v>788</v>
      </c>
      <c r="D7" s="1" t="s">
        <v>685</v>
      </c>
      <c r="E7" s="1" t="s">
        <v>685</v>
      </c>
      <c r="F7" s="1" t="s">
        <v>3033</v>
      </c>
      <c r="G7" s="77">
        <f t="shared" si="0"/>
        <v>85113</v>
      </c>
      <c r="H7" s="1">
        <v>226</v>
      </c>
      <c r="I7" s="1">
        <v>509</v>
      </c>
      <c r="J7" s="1">
        <v>76204</v>
      </c>
      <c r="K7" s="1">
        <v>22</v>
      </c>
      <c r="L7" s="1">
        <v>285</v>
      </c>
      <c r="M7" s="1">
        <v>43</v>
      </c>
      <c r="N7" s="1">
        <v>41</v>
      </c>
      <c r="O7" s="1">
        <v>1888</v>
      </c>
      <c r="P7" s="1">
        <v>7</v>
      </c>
      <c r="Q7" s="1">
        <v>1561</v>
      </c>
      <c r="R7" s="1">
        <v>7</v>
      </c>
      <c r="S7" s="1">
        <v>1</v>
      </c>
      <c r="T7" s="1">
        <v>1087</v>
      </c>
      <c r="U7" s="1">
        <v>1729</v>
      </c>
      <c r="V7" s="1">
        <v>226</v>
      </c>
      <c r="W7" s="1">
        <v>0</v>
      </c>
      <c r="X7" s="1">
        <v>400</v>
      </c>
      <c r="Y7" s="1">
        <v>0</v>
      </c>
      <c r="Z7" s="1">
        <v>0</v>
      </c>
      <c r="AA7" s="1">
        <v>1</v>
      </c>
      <c r="AB7" s="1">
        <v>0</v>
      </c>
      <c r="AC7" s="1">
        <v>89</v>
      </c>
      <c r="AD7" s="1">
        <v>262</v>
      </c>
      <c r="AE7" s="1">
        <v>139</v>
      </c>
      <c r="AF7" s="1">
        <v>6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23</v>
      </c>
      <c r="AQ7" s="1">
        <v>0</v>
      </c>
      <c r="AR7" s="1">
        <v>0</v>
      </c>
      <c r="AS7" s="1">
        <v>0</v>
      </c>
      <c r="AT7" s="1">
        <v>6</v>
      </c>
      <c r="AU7" s="1">
        <v>5</v>
      </c>
      <c r="AV7" s="1">
        <v>5</v>
      </c>
      <c r="AW7" s="1">
        <v>15</v>
      </c>
      <c r="AX7" s="1">
        <v>34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  <c r="BD7" s="1">
        <v>0</v>
      </c>
      <c r="BE7" s="1">
        <v>63</v>
      </c>
      <c r="BF7" s="1">
        <v>0</v>
      </c>
      <c r="BG7" s="1">
        <v>38</v>
      </c>
      <c r="BH7" s="1">
        <v>0</v>
      </c>
      <c r="BI7" s="1">
        <v>5</v>
      </c>
      <c r="BJ7" s="1">
        <v>0</v>
      </c>
      <c r="BK7" s="1">
        <v>1</v>
      </c>
      <c r="BL7" s="1">
        <v>11</v>
      </c>
      <c r="BM7" s="1">
        <v>0</v>
      </c>
      <c r="BN7" s="1">
        <v>34</v>
      </c>
      <c r="BO7" s="1">
        <v>5</v>
      </c>
      <c r="BP7" s="1">
        <v>4</v>
      </c>
      <c r="BQ7" s="1">
        <v>19</v>
      </c>
      <c r="BR7" s="1">
        <v>0</v>
      </c>
      <c r="BS7" s="1">
        <v>9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8</v>
      </c>
      <c r="CA7" s="1">
        <v>0</v>
      </c>
      <c r="CB7" s="1">
        <v>0</v>
      </c>
      <c r="CC7" s="1">
        <v>0</v>
      </c>
      <c r="CD7" s="1">
        <v>5</v>
      </c>
      <c r="CE7" s="1">
        <v>16</v>
      </c>
      <c r="CF7" s="1">
        <v>0</v>
      </c>
      <c r="CG7" s="1">
        <v>0</v>
      </c>
      <c r="CH7" s="1">
        <v>0</v>
      </c>
      <c r="CI7" s="1">
        <v>21</v>
      </c>
      <c r="CJ7" s="1">
        <v>0</v>
      </c>
      <c r="CK7" s="1">
        <v>6</v>
      </c>
      <c r="CL7" s="1">
        <v>0</v>
      </c>
      <c r="CM7" s="1">
        <v>0</v>
      </c>
      <c r="CN7" s="1">
        <v>17</v>
      </c>
      <c r="CO7" s="1">
        <v>0</v>
      </c>
      <c r="CP7" s="1">
        <v>3</v>
      </c>
      <c r="CQ7" s="1">
        <v>8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3</v>
      </c>
      <c r="CX7" s="1">
        <v>5</v>
      </c>
      <c r="CY7" s="1">
        <v>5</v>
      </c>
      <c r="CZ7" s="1">
        <v>0</v>
      </c>
      <c r="DA7" s="1">
        <v>0</v>
      </c>
      <c r="DB7" s="1">
        <v>3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2</v>
      </c>
    </row>
    <row r="8" spans="1:114">
      <c r="A8" s="1" t="s">
        <v>757</v>
      </c>
      <c r="B8" s="1" t="s">
        <v>800</v>
      </c>
      <c r="C8" s="1" t="s">
        <v>788</v>
      </c>
      <c r="D8" s="1" t="s">
        <v>685</v>
      </c>
      <c r="E8" s="1" t="s">
        <v>685</v>
      </c>
      <c r="F8" s="1" t="s">
        <v>3033</v>
      </c>
      <c r="G8" s="77">
        <f t="shared" si="0"/>
        <v>77730</v>
      </c>
      <c r="H8" s="1">
        <v>4</v>
      </c>
      <c r="I8" s="1">
        <v>7152</v>
      </c>
      <c r="J8" s="1">
        <v>63</v>
      </c>
      <c r="K8" s="1">
        <v>25</v>
      </c>
      <c r="L8" s="1">
        <v>46139</v>
      </c>
      <c r="M8" s="1">
        <v>11025</v>
      </c>
      <c r="N8" s="1">
        <v>9818</v>
      </c>
      <c r="O8" s="1">
        <v>32</v>
      </c>
      <c r="P8" s="1">
        <v>2177</v>
      </c>
      <c r="Q8" s="1">
        <v>195</v>
      </c>
      <c r="R8" s="1">
        <v>3</v>
      </c>
      <c r="S8" s="1">
        <v>1</v>
      </c>
      <c r="T8" s="1">
        <v>666</v>
      </c>
      <c r="U8" s="1">
        <v>98</v>
      </c>
      <c r="V8" s="1">
        <v>18</v>
      </c>
      <c r="W8" s="1">
        <v>0</v>
      </c>
      <c r="X8" s="1">
        <v>4</v>
      </c>
      <c r="Y8" s="1">
        <v>0</v>
      </c>
      <c r="Z8" s="1">
        <v>0</v>
      </c>
      <c r="AA8" s="1">
        <v>1</v>
      </c>
      <c r="AB8" s="1">
        <v>0</v>
      </c>
      <c r="AC8" s="1">
        <v>39</v>
      </c>
      <c r="AD8" s="1">
        <v>4</v>
      </c>
      <c r="AE8" s="1">
        <v>8</v>
      </c>
      <c r="AF8" s="1">
        <v>5</v>
      </c>
      <c r="AG8" s="1">
        <v>0</v>
      </c>
      <c r="AH8" s="1">
        <v>0</v>
      </c>
      <c r="AI8" s="1">
        <v>0</v>
      </c>
      <c r="AJ8" s="1">
        <v>0</v>
      </c>
      <c r="AK8" s="1">
        <v>5</v>
      </c>
      <c r="AL8" s="1">
        <v>0</v>
      </c>
      <c r="AM8" s="1">
        <v>3</v>
      </c>
      <c r="AN8" s="1">
        <v>0</v>
      </c>
      <c r="AO8" s="1">
        <v>0</v>
      </c>
      <c r="AP8" s="1">
        <v>8</v>
      </c>
      <c r="AQ8" s="1">
        <v>4</v>
      </c>
      <c r="AR8" s="1">
        <v>11</v>
      </c>
      <c r="AS8" s="1">
        <v>0</v>
      </c>
      <c r="AT8" s="1">
        <v>10</v>
      </c>
      <c r="AU8" s="1">
        <v>7</v>
      </c>
      <c r="AV8" s="1">
        <v>0</v>
      </c>
      <c r="AW8" s="1">
        <v>0</v>
      </c>
      <c r="AX8" s="1">
        <v>0</v>
      </c>
      <c r="AY8" s="1">
        <v>0</v>
      </c>
      <c r="AZ8" s="1">
        <v>3</v>
      </c>
      <c r="BA8" s="1">
        <v>0</v>
      </c>
      <c r="BB8" s="1">
        <v>0</v>
      </c>
      <c r="BC8" s="1">
        <v>0</v>
      </c>
      <c r="BD8" s="1">
        <v>48</v>
      </c>
      <c r="BE8" s="1">
        <v>0</v>
      </c>
      <c r="BF8" s="1">
        <v>0</v>
      </c>
      <c r="BG8" s="1">
        <v>0</v>
      </c>
      <c r="BH8" s="1">
        <v>0</v>
      </c>
      <c r="BI8" s="1">
        <v>28</v>
      </c>
      <c r="BJ8" s="1">
        <v>4</v>
      </c>
      <c r="BK8" s="1">
        <v>2</v>
      </c>
      <c r="BL8" s="1">
        <v>1</v>
      </c>
      <c r="BM8" s="1">
        <v>14</v>
      </c>
      <c r="BN8" s="1">
        <v>0</v>
      </c>
      <c r="BO8" s="1">
        <v>4</v>
      </c>
      <c r="BP8" s="1">
        <v>2</v>
      </c>
      <c r="BQ8" s="1">
        <v>0</v>
      </c>
      <c r="BR8" s="1">
        <v>0</v>
      </c>
      <c r="BS8" s="1">
        <v>2</v>
      </c>
      <c r="BT8" s="1">
        <v>0</v>
      </c>
      <c r="BU8" s="1">
        <v>28</v>
      </c>
      <c r="BV8" s="1">
        <v>9</v>
      </c>
      <c r="BW8" s="1">
        <v>0</v>
      </c>
      <c r="BX8" s="1">
        <v>0</v>
      </c>
      <c r="BY8" s="1">
        <v>4</v>
      </c>
      <c r="BZ8" s="1">
        <v>2</v>
      </c>
      <c r="CA8" s="1">
        <v>0</v>
      </c>
      <c r="CB8" s="1">
        <v>20</v>
      </c>
      <c r="CC8" s="1">
        <v>5</v>
      </c>
      <c r="CD8" s="1">
        <v>2</v>
      </c>
      <c r="CE8" s="1">
        <v>0</v>
      </c>
      <c r="CF8" s="1">
        <v>5</v>
      </c>
      <c r="CG8" s="1">
        <v>0</v>
      </c>
      <c r="CH8" s="1">
        <v>0</v>
      </c>
      <c r="CI8" s="1">
        <v>0</v>
      </c>
      <c r="CJ8" s="1">
        <v>3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2</v>
      </c>
      <c r="CQ8" s="1">
        <v>0</v>
      </c>
      <c r="CR8" s="1">
        <v>0</v>
      </c>
      <c r="CS8" s="1">
        <v>0</v>
      </c>
      <c r="CT8" s="1">
        <v>0</v>
      </c>
      <c r="CU8" s="1">
        <v>2</v>
      </c>
      <c r="CV8" s="1">
        <v>0</v>
      </c>
      <c r="CW8" s="1">
        <v>1</v>
      </c>
      <c r="CX8" s="1">
        <v>0</v>
      </c>
      <c r="CY8" s="1">
        <v>1</v>
      </c>
      <c r="CZ8" s="1">
        <v>0</v>
      </c>
      <c r="DA8" s="1">
        <v>0</v>
      </c>
      <c r="DB8" s="1">
        <v>0</v>
      </c>
      <c r="DC8" s="1">
        <v>10</v>
      </c>
      <c r="DD8" s="1">
        <v>0</v>
      </c>
      <c r="DE8" s="1">
        <v>1</v>
      </c>
      <c r="DF8" s="1">
        <v>2</v>
      </c>
      <c r="DG8" s="1">
        <v>0</v>
      </c>
      <c r="DH8" s="1">
        <v>0</v>
      </c>
      <c r="DI8" s="1">
        <v>0</v>
      </c>
      <c r="DJ8" s="1">
        <v>0</v>
      </c>
    </row>
    <row r="9" spans="1:114">
      <c r="A9" s="1" t="s">
        <v>756</v>
      </c>
      <c r="B9" s="1" t="s">
        <v>799</v>
      </c>
      <c r="C9" s="1" t="s">
        <v>788</v>
      </c>
      <c r="D9" s="1" t="s">
        <v>685</v>
      </c>
      <c r="E9" s="1" t="s">
        <v>685</v>
      </c>
      <c r="F9" s="1" t="s">
        <v>3033</v>
      </c>
      <c r="G9" s="77">
        <f t="shared" si="0"/>
        <v>82334</v>
      </c>
      <c r="H9" s="1">
        <v>13</v>
      </c>
      <c r="I9" s="1">
        <v>60282</v>
      </c>
      <c r="J9" s="1">
        <v>16</v>
      </c>
      <c r="K9" s="1">
        <v>74</v>
      </c>
      <c r="L9" s="1">
        <v>3008</v>
      </c>
      <c r="M9" s="1">
        <v>9709</v>
      </c>
      <c r="N9" s="1">
        <v>4680</v>
      </c>
      <c r="O9" s="1">
        <v>16</v>
      </c>
      <c r="P9" s="1">
        <v>3418</v>
      </c>
      <c r="Q9" s="1">
        <v>381</v>
      </c>
      <c r="R9" s="1">
        <v>4</v>
      </c>
      <c r="S9" s="1">
        <v>1</v>
      </c>
      <c r="T9" s="1">
        <v>60</v>
      </c>
      <c r="U9" s="1">
        <v>1</v>
      </c>
      <c r="V9" s="1">
        <v>32</v>
      </c>
      <c r="W9" s="1">
        <v>0</v>
      </c>
      <c r="X9" s="1">
        <v>121</v>
      </c>
      <c r="Y9" s="1">
        <v>0</v>
      </c>
      <c r="Z9" s="1">
        <v>0</v>
      </c>
      <c r="AA9" s="1">
        <v>3</v>
      </c>
      <c r="AB9" s="1">
        <v>0</v>
      </c>
      <c r="AC9" s="1">
        <v>32</v>
      </c>
      <c r="AD9" s="1">
        <v>0</v>
      </c>
      <c r="AE9" s="1">
        <v>11</v>
      </c>
      <c r="AF9" s="1">
        <v>5</v>
      </c>
      <c r="AG9" s="1">
        <v>0</v>
      </c>
      <c r="AH9" s="1">
        <v>0</v>
      </c>
      <c r="AI9" s="1">
        <v>0</v>
      </c>
      <c r="AJ9" s="1">
        <v>0</v>
      </c>
      <c r="AK9" s="1">
        <v>57</v>
      </c>
      <c r="AL9" s="1">
        <v>0</v>
      </c>
      <c r="AM9" s="1">
        <v>58</v>
      </c>
      <c r="AN9" s="1">
        <v>0</v>
      </c>
      <c r="AO9" s="1">
        <v>0</v>
      </c>
      <c r="AP9" s="1">
        <v>8</v>
      </c>
      <c r="AQ9" s="1">
        <v>58</v>
      </c>
      <c r="AR9" s="1">
        <v>53</v>
      </c>
      <c r="AS9" s="1">
        <v>0</v>
      </c>
      <c r="AT9" s="1">
        <v>0</v>
      </c>
      <c r="AU9" s="1">
        <v>51</v>
      </c>
      <c r="AV9" s="1">
        <v>0</v>
      </c>
      <c r="AW9" s="1">
        <v>0</v>
      </c>
      <c r="AX9" s="1">
        <v>0</v>
      </c>
      <c r="AY9" s="1">
        <v>1</v>
      </c>
      <c r="AZ9" s="1">
        <v>0</v>
      </c>
      <c r="BA9" s="1">
        <v>0</v>
      </c>
      <c r="BB9" s="1">
        <v>0</v>
      </c>
      <c r="BC9" s="1">
        <v>0</v>
      </c>
      <c r="BD9" s="1">
        <v>19</v>
      </c>
      <c r="BE9" s="1">
        <v>6</v>
      </c>
      <c r="BF9" s="1">
        <v>0</v>
      </c>
      <c r="BG9" s="1">
        <v>1</v>
      </c>
      <c r="BH9" s="1">
        <v>0</v>
      </c>
      <c r="BI9" s="1">
        <v>0</v>
      </c>
      <c r="BJ9" s="1">
        <v>19</v>
      </c>
      <c r="BK9" s="1">
        <v>16</v>
      </c>
      <c r="BL9" s="1">
        <v>5</v>
      </c>
      <c r="BM9" s="1">
        <v>13</v>
      </c>
      <c r="BN9" s="1">
        <v>0</v>
      </c>
      <c r="BO9" s="1">
        <v>9</v>
      </c>
      <c r="BP9" s="1">
        <v>1</v>
      </c>
      <c r="BQ9" s="1">
        <v>2</v>
      </c>
      <c r="BR9" s="1">
        <v>1</v>
      </c>
      <c r="BS9" s="1">
        <v>7</v>
      </c>
      <c r="BT9" s="1">
        <v>0</v>
      </c>
      <c r="BU9" s="1">
        <v>4</v>
      </c>
      <c r="BV9" s="1">
        <v>14</v>
      </c>
      <c r="BW9" s="1">
        <v>0</v>
      </c>
      <c r="BX9" s="1">
        <v>0</v>
      </c>
      <c r="BY9" s="1">
        <v>12</v>
      </c>
      <c r="BZ9" s="1">
        <v>1</v>
      </c>
      <c r="CA9" s="1">
        <v>0</v>
      </c>
      <c r="CB9" s="1">
        <v>0</v>
      </c>
      <c r="CC9" s="1">
        <v>8</v>
      </c>
      <c r="CD9" s="1">
        <v>4</v>
      </c>
      <c r="CE9" s="1">
        <v>3</v>
      </c>
      <c r="CF9" s="1">
        <v>4</v>
      </c>
      <c r="CG9" s="1">
        <v>0</v>
      </c>
      <c r="CH9" s="1">
        <v>0</v>
      </c>
      <c r="CI9" s="1">
        <v>0</v>
      </c>
      <c r="CJ9" s="1">
        <v>8</v>
      </c>
      <c r="CK9" s="1">
        <v>0</v>
      </c>
      <c r="CL9" s="1">
        <v>0</v>
      </c>
      <c r="CM9" s="1">
        <v>2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6</v>
      </c>
      <c r="CV9" s="1">
        <v>0</v>
      </c>
      <c r="CW9" s="1">
        <v>3</v>
      </c>
      <c r="CX9" s="1">
        <v>0</v>
      </c>
      <c r="CY9" s="1">
        <v>0</v>
      </c>
      <c r="CZ9" s="1">
        <v>3</v>
      </c>
      <c r="DA9" s="1">
        <v>0</v>
      </c>
      <c r="DB9" s="1">
        <v>1</v>
      </c>
      <c r="DC9" s="1">
        <v>0</v>
      </c>
      <c r="DD9" s="1">
        <v>0</v>
      </c>
      <c r="DE9" s="1">
        <v>1</v>
      </c>
      <c r="DF9" s="1">
        <v>1</v>
      </c>
      <c r="DG9" s="1">
        <v>0</v>
      </c>
      <c r="DH9" s="1">
        <v>6</v>
      </c>
      <c r="DI9" s="1">
        <v>0</v>
      </c>
      <c r="DJ9" s="1">
        <v>1</v>
      </c>
    </row>
    <row r="10" spans="1:114">
      <c r="A10" s="1" t="s">
        <v>755</v>
      </c>
      <c r="B10" s="1" t="s">
        <v>798</v>
      </c>
      <c r="C10" s="1" t="s">
        <v>788</v>
      </c>
      <c r="D10" s="1" t="s">
        <v>685</v>
      </c>
      <c r="E10" s="1" t="s">
        <v>685</v>
      </c>
      <c r="F10" s="1" t="s">
        <v>3033</v>
      </c>
      <c r="G10" s="77">
        <f t="shared" si="0"/>
        <v>81757</v>
      </c>
      <c r="H10" s="1">
        <v>4</v>
      </c>
      <c r="I10" s="1">
        <v>69180</v>
      </c>
      <c r="J10" s="1">
        <v>246</v>
      </c>
      <c r="K10" s="1">
        <v>13</v>
      </c>
      <c r="L10" s="1">
        <v>527</v>
      </c>
      <c r="M10" s="1">
        <v>3473</v>
      </c>
      <c r="N10" s="1">
        <v>1399</v>
      </c>
      <c r="O10" s="1">
        <v>993</v>
      </c>
      <c r="P10" s="1">
        <v>1430</v>
      </c>
      <c r="Q10" s="1">
        <v>2351</v>
      </c>
      <c r="R10" s="1">
        <v>6</v>
      </c>
      <c r="S10" s="1">
        <v>0</v>
      </c>
      <c r="T10" s="1">
        <v>86</v>
      </c>
      <c r="U10" s="1">
        <v>84</v>
      </c>
      <c r="V10" s="1">
        <v>1266</v>
      </c>
      <c r="W10" s="1">
        <v>0</v>
      </c>
      <c r="X10" s="1">
        <v>184</v>
      </c>
      <c r="Y10" s="1">
        <v>0</v>
      </c>
      <c r="Z10" s="1">
        <v>0</v>
      </c>
      <c r="AA10" s="1">
        <v>14</v>
      </c>
      <c r="AB10" s="1">
        <v>0</v>
      </c>
      <c r="AC10" s="1">
        <v>58</v>
      </c>
      <c r="AD10" s="1">
        <v>3</v>
      </c>
      <c r="AE10" s="1">
        <v>3</v>
      </c>
      <c r="AF10" s="1">
        <v>4</v>
      </c>
      <c r="AG10" s="1">
        <v>0</v>
      </c>
      <c r="AH10" s="1">
        <v>0</v>
      </c>
      <c r="AI10" s="1">
        <v>0</v>
      </c>
      <c r="AJ10" s="1">
        <v>0</v>
      </c>
      <c r="AK10" s="1">
        <v>49</v>
      </c>
      <c r="AL10" s="1">
        <v>0</v>
      </c>
      <c r="AM10" s="1">
        <v>67</v>
      </c>
      <c r="AN10" s="1">
        <v>0</v>
      </c>
      <c r="AO10" s="1">
        <v>0</v>
      </c>
      <c r="AP10" s="1">
        <v>25</v>
      </c>
      <c r="AQ10" s="1">
        <v>59</v>
      </c>
      <c r="AR10" s="1">
        <v>44</v>
      </c>
      <c r="AS10" s="1">
        <v>0</v>
      </c>
      <c r="AT10" s="1">
        <v>23</v>
      </c>
      <c r="AU10" s="1">
        <v>34</v>
      </c>
      <c r="AV10" s="1">
        <v>0</v>
      </c>
      <c r="AW10" s="1">
        <v>2</v>
      </c>
      <c r="AX10" s="1">
        <v>3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5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17</v>
      </c>
      <c r="BK10" s="1">
        <v>12</v>
      </c>
      <c r="BL10" s="1">
        <v>4</v>
      </c>
      <c r="BM10" s="1">
        <v>8</v>
      </c>
      <c r="BN10" s="1">
        <v>0</v>
      </c>
      <c r="BO10" s="1">
        <v>14</v>
      </c>
      <c r="BP10" s="1">
        <v>2</v>
      </c>
      <c r="BQ10" s="1">
        <v>3</v>
      </c>
      <c r="BR10" s="1">
        <v>0</v>
      </c>
      <c r="BS10" s="1">
        <v>5</v>
      </c>
      <c r="BT10" s="1">
        <v>1</v>
      </c>
      <c r="BU10" s="1">
        <v>1</v>
      </c>
      <c r="BV10" s="1">
        <v>4</v>
      </c>
      <c r="BW10" s="1">
        <v>0</v>
      </c>
      <c r="BX10" s="1">
        <v>0</v>
      </c>
      <c r="BY10" s="1">
        <v>11</v>
      </c>
      <c r="BZ10" s="1">
        <v>1</v>
      </c>
      <c r="CA10" s="1">
        <v>0</v>
      </c>
      <c r="CB10" s="1">
        <v>0</v>
      </c>
      <c r="CC10" s="1">
        <v>7</v>
      </c>
      <c r="CD10" s="1">
        <v>0</v>
      </c>
      <c r="CE10" s="1">
        <v>2</v>
      </c>
      <c r="CF10" s="1">
        <v>1</v>
      </c>
      <c r="CG10" s="1">
        <v>0</v>
      </c>
      <c r="CH10" s="1">
        <v>0</v>
      </c>
      <c r="CI10" s="1">
        <v>2</v>
      </c>
      <c r="CJ10" s="1">
        <v>4</v>
      </c>
      <c r="CK10" s="1">
        <v>1</v>
      </c>
      <c r="CL10" s="1">
        <v>0</v>
      </c>
      <c r="CM10" s="1">
        <v>1</v>
      </c>
      <c r="CN10" s="1">
        <v>1</v>
      </c>
      <c r="CO10" s="1">
        <v>0</v>
      </c>
      <c r="CP10" s="1">
        <v>0</v>
      </c>
      <c r="CQ10" s="1">
        <v>0</v>
      </c>
      <c r="CR10" s="1">
        <v>2</v>
      </c>
      <c r="CS10" s="1">
        <v>0</v>
      </c>
      <c r="CT10" s="1">
        <v>0</v>
      </c>
      <c r="CU10" s="1">
        <v>5</v>
      </c>
      <c r="CV10" s="1">
        <v>0</v>
      </c>
      <c r="CW10" s="1">
        <v>4</v>
      </c>
      <c r="CX10" s="1">
        <v>2</v>
      </c>
      <c r="CY10" s="1">
        <v>1</v>
      </c>
      <c r="CZ10" s="1">
        <v>5</v>
      </c>
      <c r="DA10" s="1">
        <v>0</v>
      </c>
      <c r="DB10" s="1">
        <v>0</v>
      </c>
      <c r="DC10" s="1">
        <v>0</v>
      </c>
      <c r="DD10" s="1">
        <v>0</v>
      </c>
      <c r="DE10" s="1">
        <v>1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</row>
    <row r="11" spans="1:114">
      <c r="A11" s="1" t="s">
        <v>754</v>
      </c>
      <c r="B11" s="1" t="s">
        <v>797</v>
      </c>
      <c r="C11" s="1" t="s">
        <v>788</v>
      </c>
      <c r="D11" s="1" t="s">
        <v>685</v>
      </c>
      <c r="E11" s="1" t="s">
        <v>685</v>
      </c>
      <c r="F11" s="1" t="s">
        <v>3033</v>
      </c>
      <c r="G11" s="77">
        <f t="shared" si="0"/>
        <v>72642</v>
      </c>
      <c r="H11" s="1">
        <v>69</v>
      </c>
      <c r="I11" s="1">
        <v>155</v>
      </c>
      <c r="J11" s="1">
        <v>46522</v>
      </c>
      <c r="K11" s="1">
        <v>15</v>
      </c>
      <c r="L11" s="1">
        <v>26</v>
      </c>
      <c r="M11" s="1">
        <v>1</v>
      </c>
      <c r="N11" s="1">
        <v>30</v>
      </c>
      <c r="O11" s="1">
        <v>11164</v>
      </c>
      <c r="P11" s="1">
        <v>1</v>
      </c>
      <c r="Q11" s="1">
        <v>337</v>
      </c>
      <c r="R11" s="1">
        <v>6475</v>
      </c>
      <c r="S11" s="1">
        <v>5816</v>
      </c>
      <c r="T11" s="1">
        <v>66</v>
      </c>
      <c r="U11" s="1">
        <v>141</v>
      </c>
      <c r="V11" s="1">
        <v>72</v>
      </c>
      <c r="W11" s="1">
        <v>0</v>
      </c>
      <c r="X11" s="1">
        <v>4</v>
      </c>
      <c r="Y11" s="1">
        <v>0</v>
      </c>
      <c r="Z11" s="1">
        <v>0</v>
      </c>
      <c r="AA11" s="1">
        <v>2</v>
      </c>
      <c r="AB11" s="1">
        <v>0</v>
      </c>
      <c r="AC11" s="1">
        <v>249</v>
      </c>
      <c r="AD11" s="1">
        <v>165</v>
      </c>
      <c r="AE11" s="1">
        <v>177</v>
      </c>
      <c r="AF11" s="1">
        <v>147</v>
      </c>
      <c r="AG11" s="1">
        <v>0</v>
      </c>
      <c r="AH11" s="1">
        <v>0</v>
      </c>
      <c r="AI11" s="1">
        <v>0</v>
      </c>
      <c r="AJ11" s="1">
        <v>0</v>
      </c>
      <c r="AK11" s="1">
        <v>33</v>
      </c>
      <c r="AL11" s="1">
        <v>0</v>
      </c>
      <c r="AM11" s="1">
        <v>9</v>
      </c>
      <c r="AN11" s="1">
        <v>0</v>
      </c>
      <c r="AO11" s="1">
        <v>149</v>
      </c>
      <c r="AP11" s="1">
        <v>70</v>
      </c>
      <c r="AQ11" s="1">
        <v>0</v>
      </c>
      <c r="AR11" s="1">
        <v>0</v>
      </c>
      <c r="AS11" s="1">
        <v>0</v>
      </c>
      <c r="AT11" s="1">
        <v>31</v>
      </c>
      <c r="AU11" s="1">
        <v>0</v>
      </c>
      <c r="AV11" s="1">
        <v>116</v>
      </c>
      <c r="AW11" s="1">
        <v>102</v>
      </c>
      <c r="AX11" s="1">
        <v>78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21</v>
      </c>
      <c r="BF11" s="1">
        <v>0</v>
      </c>
      <c r="BG11" s="1">
        <v>44</v>
      </c>
      <c r="BH11" s="1">
        <v>0</v>
      </c>
      <c r="BI11" s="1">
        <v>2</v>
      </c>
      <c r="BJ11" s="1">
        <v>21</v>
      </c>
      <c r="BK11" s="1">
        <v>9</v>
      </c>
      <c r="BL11" s="1">
        <v>29</v>
      </c>
      <c r="BM11" s="1">
        <v>21</v>
      </c>
      <c r="BN11" s="1">
        <v>34</v>
      </c>
      <c r="BO11" s="1">
        <v>5</v>
      </c>
      <c r="BP11" s="1">
        <v>48</v>
      </c>
      <c r="BQ11" s="1">
        <v>36</v>
      </c>
      <c r="BR11" s="1">
        <v>0</v>
      </c>
      <c r="BS11" s="1">
        <v>9</v>
      </c>
      <c r="BT11" s="1">
        <v>5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17</v>
      </c>
      <c r="CA11" s="1">
        <v>0</v>
      </c>
      <c r="CB11" s="1">
        <v>0</v>
      </c>
      <c r="CC11" s="1">
        <v>9</v>
      </c>
      <c r="CD11" s="1">
        <v>17</v>
      </c>
      <c r="CE11" s="1">
        <v>5</v>
      </c>
      <c r="CF11" s="1">
        <v>0</v>
      </c>
      <c r="CG11" s="1">
        <v>0</v>
      </c>
      <c r="CH11" s="1">
        <v>0</v>
      </c>
      <c r="CI11" s="1">
        <v>0</v>
      </c>
      <c r="CJ11" s="1">
        <v>3</v>
      </c>
      <c r="CK11" s="1">
        <v>14</v>
      </c>
      <c r="CL11" s="1">
        <v>0</v>
      </c>
      <c r="CM11" s="1">
        <v>2</v>
      </c>
      <c r="CN11" s="1">
        <v>4</v>
      </c>
      <c r="CO11" s="1">
        <v>0</v>
      </c>
      <c r="CP11" s="1">
        <v>11</v>
      </c>
      <c r="CQ11" s="1">
        <v>13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2</v>
      </c>
      <c r="CX11" s="1">
        <v>4</v>
      </c>
      <c r="CY11" s="1">
        <v>6</v>
      </c>
      <c r="CZ11" s="1">
        <v>3</v>
      </c>
      <c r="DA11" s="1">
        <v>7</v>
      </c>
      <c r="DB11" s="1">
        <v>8</v>
      </c>
      <c r="DC11" s="1">
        <v>0</v>
      </c>
      <c r="DD11" s="1">
        <v>0</v>
      </c>
      <c r="DE11" s="1">
        <v>0</v>
      </c>
      <c r="DF11" s="1">
        <v>0</v>
      </c>
      <c r="DG11" s="1">
        <v>5</v>
      </c>
      <c r="DH11" s="1">
        <v>0</v>
      </c>
      <c r="DI11" s="1">
        <v>6</v>
      </c>
      <c r="DJ11" s="1">
        <v>0</v>
      </c>
    </row>
    <row r="12" spans="1:114">
      <c r="A12" s="1" t="s">
        <v>753</v>
      </c>
      <c r="B12" s="1" t="s">
        <v>796</v>
      </c>
      <c r="C12" s="1" t="s">
        <v>788</v>
      </c>
      <c r="D12" s="1" t="s">
        <v>685</v>
      </c>
      <c r="E12" s="1" t="s">
        <v>685</v>
      </c>
      <c r="F12" s="1" t="s">
        <v>3033</v>
      </c>
      <c r="G12" s="77">
        <f t="shared" si="0"/>
        <v>99277</v>
      </c>
      <c r="H12" s="1">
        <v>109</v>
      </c>
      <c r="I12" s="1">
        <v>138</v>
      </c>
      <c r="J12" s="1">
        <v>432</v>
      </c>
      <c r="K12" s="1">
        <v>95568</v>
      </c>
      <c r="L12" s="1">
        <v>40</v>
      </c>
      <c r="M12" s="1">
        <v>10</v>
      </c>
      <c r="N12" s="1">
        <v>8</v>
      </c>
      <c r="O12" s="1">
        <v>9</v>
      </c>
      <c r="P12" s="1">
        <v>3</v>
      </c>
      <c r="Q12" s="1">
        <v>205</v>
      </c>
      <c r="R12" s="1">
        <v>62</v>
      </c>
      <c r="S12" s="1">
        <v>70</v>
      </c>
      <c r="T12" s="1">
        <v>27</v>
      </c>
      <c r="U12" s="1">
        <v>1</v>
      </c>
      <c r="V12" s="1">
        <v>1</v>
      </c>
      <c r="W12" s="1">
        <v>0</v>
      </c>
      <c r="X12" s="1">
        <v>172</v>
      </c>
      <c r="Y12" s="1">
        <v>0</v>
      </c>
      <c r="Z12" s="1">
        <v>0</v>
      </c>
      <c r="AA12" s="1">
        <v>697</v>
      </c>
      <c r="AB12" s="1">
        <v>0</v>
      </c>
      <c r="AC12" s="1">
        <v>13</v>
      </c>
      <c r="AD12" s="1">
        <v>0</v>
      </c>
      <c r="AE12" s="1">
        <v>16</v>
      </c>
      <c r="AF12" s="1">
        <v>170</v>
      </c>
      <c r="AG12" s="1">
        <v>2</v>
      </c>
      <c r="AH12" s="1">
        <v>0</v>
      </c>
      <c r="AI12" s="1">
        <v>0</v>
      </c>
      <c r="AJ12" s="1">
        <v>215</v>
      </c>
      <c r="AK12" s="1">
        <v>0</v>
      </c>
      <c r="AL12" s="1">
        <v>0</v>
      </c>
      <c r="AM12" s="1">
        <v>1</v>
      </c>
      <c r="AN12" s="1">
        <v>159</v>
      </c>
      <c r="AO12" s="1">
        <v>0</v>
      </c>
      <c r="AP12" s="1">
        <v>1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1</v>
      </c>
      <c r="AY12" s="1">
        <v>113</v>
      </c>
      <c r="AZ12" s="1">
        <v>100</v>
      </c>
      <c r="BA12" s="1">
        <v>99</v>
      </c>
      <c r="BB12" s="1">
        <v>100</v>
      </c>
      <c r="BC12" s="1">
        <v>95</v>
      </c>
      <c r="BD12" s="1">
        <v>0</v>
      </c>
      <c r="BE12" s="1">
        <v>0</v>
      </c>
      <c r="BF12" s="1">
        <v>87</v>
      </c>
      <c r="BG12" s="1">
        <v>0</v>
      </c>
      <c r="BH12" s="1">
        <v>82</v>
      </c>
      <c r="BI12" s="1">
        <v>0</v>
      </c>
      <c r="BJ12" s="1">
        <v>0</v>
      </c>
      <c r="BK12" s="1">
        <v>30</v>
      </c>
      <c r="BL12" s="1">
        <v>16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57</v>
      </c>
      <c r="BS12" s="1">
        <v>11</v>
      </c>
      <c r="BT12" s="1">
        <v>45</v>
      </c>
      <c r="BU12" s="1">
        <v>0</v>
      </c>
      <c r="BV12" s="1">
        <v>0</v>
      </c>
      <c r="BW12" s="1">
        <v>42</v>
      </c>
      <c r="BX12" s="1">
        <v>40</v>
      </c>
      <c r="BY12" s="1">
        <v>0</v>
      </c>
      <c r="BZ12" s="1">
        <v>7</v>
      </c>
      <c r="CA12" s="1">
        <v>38</v>
      </c>
      <c r="CB12" s="1">
        <v>0</v>
      </c>
      <c r="CC12" s="1">
        <v>0</v>
      </c>
      <c r="CD12" s="1">
        <v>1</v>
      </c>
      <c r="CE12" s="1">
        <v>0</v>
      </c>
      <c r="CF12" s="1">
        <v>0</v>
      </c>
      <c r="CG12" s="1">
        <v>27</v>
      </c>
      <c r="CH12" s="1">
        <v>27</v>
      </c>
      <c r="CI12" s="1">
        <v>1</v>
      </c>
      <c r="CJ12" s="1">
        <v>0</v>
      </c>
      <c r="CK12" s="1">
        <v>1</v>
      </c>
      <c r="CL12" s="1">
        <v>23</v>
      </c>
      <c r="CM12" s="1">
        <v>14</v>
      </c>
      <c r="CN12" s="1">
        <v>0</v>
      </c>
      <c r="CO12" s="1">
        <v>22</v>
      </c>
      <c r="CP12" s="1">
        <v>1</v>
      </c>
      <c r="CQ12" s="1">
        <v>0</v>
      </c>
      <c r="CR12" s="1">
        <v>0</v>
      </c>
      <c r="CS12" s="1">
        <v>20</v>
      </c>
      <c r="CT12" s="1">
        <v>19</v>
      </c>
      <c r="CU12" s="1">
        <v>0</v>
      </c>
      <c r="CV12" s="1">
        <v>17</v>
      </c>
      <c r="CW12" s="1">
        <v>0</v>
      </c>
      <c r="CX12" s="1">
        <v>2</v>
      </c>
      <c r="CY12" s="1">
        <v>0</v>
      </c>
      <c r="CZ12" s="1">
        <v>0</v>
      </c>
      <c r="DA12" s="1">
        <v>6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2</v>
      </c>
      <c r="DH12" s="1">
        <v>2</v>
      </c>
      <c r="DI12" s="1">
        <v>0</v>
      </c>
      <c r="DJ12" s="1">
        <v>0</v>
      </c>
    </row>
    <row r="13" spans="1:114">
      <c r="A13" s="1" t="s">
        <v>752</v>
      </c>
      <c r="B13" s="1" t="s">
        <v>794</v>
      </c>
      <c r="C13" s="1" t="s">
        <v>788</v>
      </c>
      <c r="D13" s="1">
        <v>114.29510000000001</v>
      </c>
      <c r="E13" s="1">
        <v>22.340879999999999</v>
      </c>
      <c r="F13" s="1" t="s">
        <v>3033</v>
      </c>
      <c r="G13" s="77">
        <f t="shared" si="0"/>
        <v>143942</v>
      </c>
      <c r="H13" s="1">
        <v>143902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16</v>
      </c>
      <c r="AA13" s="1">
        <v>0</v>
      </c>
      <c r="AB13" s="1">
        <v>12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9</v>
      </c>
      <c r="AI13" s="1">
        <v>0</v>
      </c>
      <c r="AJ13" s="1">
        <v>0</v>
      </c>
      <c r="AK13" s="1">
        <v>0</v>
      </c>
      <c r="AL13" s="1">
        <v>2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</row>
    <row r="14" spans="1:114">
      <c r="A14" s="1" t="s">
        <v>751</v>
      </c>
      <c r="B14" s="1" t="s">
        <v>793</v>
      </c>
      <c r="C14" s="1" t="s">
        <v>788</v>
      </c>
      <c r="D14" s="1">
        <v>114.29510000000001</v>
      </c>
      <c r="E14" s="1">
        <v>22.340879999999999</v>
      </c>
      <c r="F14" s="1" t="s">
        <v>3033</v>
      </c>
      <c r="G14" s="77">
        <f t="shared" si="0"/>
        <v>125508</v>
      </c>
      <c r="H14" s="1">
        <v>123676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961</v>
      </c>
      <c r="Z14" s="1">
        <v>27</v>
      </c>
      <c r="AA14" s="1">
        <v>0</v>
      </c>
      <c r="AB14" s="1">
        <v>608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13</v>
      </c>
      <c r="AI14" s="1">
        <v>220</v>
      </c>
      <c r="AJ14" s="1">
        <v>0</v>
      </c>
      <c r="AK14" s="1">
        <v>0</v>
      </c>
      <c r="AL14" s="1">
        <v>1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</row>
    <row r="15" spans="1:114">
      <c r="A15" s="1" t="s">
        <v>750</v>
      </c>
      <c r="B15" s="1" t="s">
        <v>789</v>
      </c>
      <c r="C15" s="1" t="s">
        <v>788</v>
      </c>
      <c r="D15" s="1">
        <v>114.432</v>
      </c>
      <c r="E15" s="1">
        <v>22.368670000000002</v>
      </c>
      <c r="F15" s="1" t="s">
        <v>3033</v>
      </c>
      <c r="G15" s="77">
        <f t="shared" si="0"/>
        <v>136965</v>
      </c>
      <c r="H15" s="1">
        <v>134154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1205</v>
      </c>
      <c r="X15" s="1">
        <v>0</v>
      </c>
      <c r="Y15" s="1">
        <v>0</v>
      </c>
      <c r="Z15" s="1">
        <v>769</v>
      </c>
      <c r="AA15" s="1">
        <v>0</v>
      </c>
      <c r="AB15" s="1">
        <v>7</v>
      </c>
      <c r="AC15" s="1">
        <v>0</v>
      </c>
      <c r="AD15" s="1">
        <v>0</v>
      </c>
      <c r="AE15" s="1">
        <v>0</v>
      </c>
      <c r="AF15" s="1">
        <v>0</v>
      </c>
      <c r="AG15" s="1">
        <v>304</v>
      </c>
      <c r="AH15" s="1">
        <v>207</v>
      </c>
      <c r="AI15" s="1">
        <v>0</v>
      </c>
      <c r="AJ15" s="1">
        <v>0</v>
      </c>
      <c r="AK15" s="1">
        <v>0</v>
      </c>
      <c r="AL15" s="1">
        <v>176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133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10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</row>
    <row r="16" spans="1:114">
      <c r="A16" s="1" t="s">
        <v>760</v>
      </c>
      <c r="B16" s="1" t="s">
        <v>787</v>
      </c>
      <c r="C16" s="1" t="s">
        <v>785</v>
      </c>
      <c r="D16" s="1" t="s">
        <v>685</v>
      </c>
      <c r="E16" s="1" t="s">
        <v>685</v>
      </c>
      <c r="F16" s="1" t="s">
        <v>3033</v>
      </c>
      <c r="G16" s="77">
        <f t="shared" si="0"/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</row>
    <row r="17" spans="1:114">
      <c r="A17" s="1" t="s">
        <v>749</v>
      </c>
      <c r="B17" s="1" t="s">
        <v>786</v>
      </c>
      <c r="C17" s="1" t="s">
        <v>785</v>
      </c>
      <c r="D17" s="1" t="s">
        <v>685</v>
      </c>
      <c r="E17" s="1" t="s">
        <v>685</v>
      </c>
      <c r="F17" s="1" t="s">
        <v>3033</v>
      </c>
      <c r="G17" s="77">
        <f t="shared" si="0"/>
        <v>10</v>
      </c>
      <c r="H17" s="1">
        <v>6</v>
      </c>
      <c r="I17" s="1">
        <v>0</v>
      </c>
      <c r="J17" s="1">
        <v>0</v>
      </c>
      <c r="K17" s="1">
        <v>3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</row>
    <row r="19" spans="1:114" s="8" customFormat="1">
      <c r="F19" s="67" t="s">
        <v>653</v>
      </c>
      <c r="G19" s="68">
        <f t="shared" ref="G19:AL19" si="1">SUM(G2:G17)</f>
        <v>987871</v>
      </c>
      <c r="H19" s="68">
        <f t="shared" si="1"/>
        <v>402556</v>
      </c>
      <c r="I19" s="68">
        <f t="shared" si="1"/>
        <v>175165</v>
      </c>
      <c r="J19" s="68">
        <f t="shared" si="1"/>
        <v>123789</v>
      </c>
      <c r="K19" s="68">
        <f t="shared" si="1"/>
        <v>95736</v>
      </c>
      <c r="L19" s="68">
        <f t="shared" si="1"/>
        <v>60730</v>
      </c>
      <c r="M19" s="68">
        <f t="shared" si="1"/>
        <v>39606</v>
      </c>
      <c r="N19" s="68">
        <f t="shared" si="1"/>
        <v>24689</v>
      </c>
      <c r="O19" s="68">
        <f t="shared" si="1"/>
        <v>14802</v>
      </c>
      <c r="P19" s="68">
        <f t="shared" si="1"/>
        <v>11547</v>
      </c>
      <c r="Q19" s="68">
        <f t="shared" si="1"/>
        <v>6589</v>
      </c>
      <c r="R19" s="68">
        <f t="shared" si="1"/>
        <v>6560</v>
      </c>
      <c r="S19" s="68">
        <f t="shared" si="1"/>
        <v>5890</v>
      </c>
      <c r="T19" s="68">
        <f t="shared" si="1"/>
        <v>2631</v>
      </c>
      <c r="U19" s="68">
        <f t="shared" si="1"/>
        <v>2588</v>
      </c>
      <c r="V19" s="68">
        <f t="shared" si="1"/>
        <v>2290</v>
      </c>
      <c r="W19" s="68">
        <f t="shared" si="1"/>
        <v>1206</v>
      </c>
      <c r="X19" s="68">
        <f t="shared" si="1"/>
        <v>1037</v>
      </c>
      <c r="Y19" s="68">
        <f t="shared" si="1"/>
        <v>961</v>
      </c>
      <c r="Z19" s="68">
        <f t="shared" si="1"/>
        <v>812</v>
      </c>
      <c r="AA19" s="68">
        <f t="shared" si="1"/>
        <v>719</v>
      </c>
      <c r="AB19" s="68">
        <f t="shared" si="1"/>
        <v>627</v>
      </c>
      <c r="AC19" s="68">
        <f t="shared" si="1"/>
        <v>535</v>
      </c>
      <c r="AD19" s="68">
        <f t="shared" si="1"/>
        <v>457</v>
      </c>
      <c r="AE19" s="68">
        <f t="shared" si="1"/>
        <v>362</v>
      </c>
      <c r="AF19" s="68">
        <f t="shared" si="1"/>
        <v>341</v>
      </c>
      <c r="AG19" s="68">
        <f t="shared" si="1"/>
        <v>306</v>
      </c>
      <c r="AH19" s="68">
        <f t="shared" si="1"/>
        <v>229</v>
      </c>
      <c r="AI19" s="68">
        <f t="shared" si="1"/>
        <v>220</v>
      </c>
      <c r="AJ19" s="68">
        <f t="shared" si="1"/>
        <v>215</v>
      </c>
      <c r="AK19" s="68">
        <f t="shared" si="1"/>
        <v>180</v>
      </c>
      <c r="AL19" s="68">
        <f t="shared" si="1"/>
        <v>179</v>
      </c>
      <c r="AM19" s="68">
        <f t="shared" ref="AM19:BR19" si="2">SUM(AM2:AM17)</f>
        <v>162</v>
      </c>
      <c r="AN19" s="68">
        <f t="shared" si="2"/>
        <v>159</v>
      </c>
      <c r="AO19" s="68">
        <f t="shared" si="2"/>
        <v>149</v>
      </c>
      <c r="AP19" s="68">
        <f t="shared" si="2"/>
        <v>147</v>
      </c>
      <c r="AQ19" s="68">
        <f t="shared" si="2"/>
        <v>144</v>
      </c>
      <c r="AR19" s="68">
        <f t="shared" si="2"/>
        <v>140</v>
      </c>
      <c r="AS19" s="68">
        <f t="shared" si="2"/>
        <v>133</v>
      </c>
      <c r="AT19" s="68">
        <f t="shared" si="2"/>
        <v>132</v>
      </c>
      <c r="AU19" s="68">
        <f t="shared" si="2"/>
        <v>123</v>
      </c>
      <c r="AV19" s="68">
        <f t="shared" si="2"/>
        <v>121</v>
      </c>
      <c r="AW19" s="68">
        <f t="shared" si="2"/>
        <v>119</v>
      </c>
      <c r="AX19" s="68">
        <f t="shared" si="2"/>
        <v>116</v>
      </c>
      <c r="AY19" s="68">
        <f t="shared" si="2"/>
        <v>114</v>
      </c>
      <c r="AZ19" s="68">
        <f t="shared" si="2"/>
        <v>103</v>
      </c>
      <c r="BA19" s="68">
        <f t="shared" si="2"/>
        <v>100</v>
      </c>
      <c r="BB19" s="68">
        <f t="shared" si="2"/>
        <v>100</v>
      </c>
      <c r="BC19" s="68">
        <f t="shared" si="2"/>
        <v>95</v>
      </c>
      <c r="BD19" s="68">
        <f t="shared" si="2"/>
        <v>91</v>
      </c>
      <c r="BE19" s="68">
        <f t="shared" si="2"/>
        <v>90</v>
      </c>
      <c r="BF19" s="68">
        <f t="shared" si="2"/>
        <v>87</v>
      </c>
      <c r="BG19" s="68">
        <f t="shared" si="2"/>
        <v>83</v>
      </c>
      <c r="BH19" s="68">
        <f t="shared" si="2"/>
        <v>82</v>
      </c>
      <c r="BI19" s="68">
        <f t="shared" si="2"/>
        <v>78</v>
      </c>
      <c r="BJ19" s="68">
        <f t="shared" si="2"/>
        <v>77</v>
      </c>
      <c r="BK19" s="68">
        <f t="shared" si="2"/>
        <v>74</v>
      </c>
      <c r="BL19" s="68">
        <f t="shared" si="2"/>
        <v>69</v>
      </c>
      <c r="BM19" s="68">
        <f t="shared" si="2"/>
        <v>68</v>
      </c>
      <c r="BN19" s="68">
        <f t="shared" si="2"/>
        <v>68</v>
      </c>
      <c r="BO19" s="68">
        <f t="shared" si="2"/>
        <v>61</v>
      </c>
      <c r="BP19" s="68">
        <f t="shared" si="2"/>
        <v>60</v>
      </c>
      <c r="BQ19" s="68">
        <f t="shared" si="2"/>
        <v>60</v>
      </c>
      <c r="BR19" s="68">
        <f t="shared" si="2"/>
        <v>58</v>
      </c>
      <c r="BS19" s="68">
        <f t="shared" ref="BS19:CX19" si="3">SUM(BS2:BS17)</f>
        <v>51</v>
      </c>
      <c r="BT19" s="68">
        <f t="shared" si="3"/>
        <v>51</v>
      </c>
      <c r="BU19" s="68">
        <f t="shared" si="3"/>
        <v>49</v>
      </c>
      <c r="BV19" s="68">
        <f t="shared" si="3"/>
        <v>47</v>
      </c>
      <c r="BW19" s="68">
        <f t="shared" si="3"/>
        <v>42</v>
      </c>
      <c r="BX19" s="68">
        <f t="shared" si="3"/>
        <v>41</v>
      </c>
      <c r="BY19" s="68">
        <f t="shared" si="3"/>
        <v>38</v>
      </c>
      <c r="BZ19" s="68">
        <f t="shared" si="3"/>
        <v>38</v>
      </c>
      <c r="CA19" s="68">
        <f t="shared" si="3"/>
        <v>38</v>
      </c>
      <c r="CB19" s="68">
        <f t="shared" si="3"/>
        <v>35</v>
      </c>
      <c r="CC19" s="68">
        <f t="shared" si="3"/>
        <v>34</v>
      </c>
      <c r="CD19" s="68">
        <f t="shared" si="3"/>
        <v>34</v>
      </c>
      <c r="CE19" s="68">
        <f t="shared" si="3"/>
        <v>33</v>
      </c>
      <c r="CF19" s="68">
        <f t="shared" si="3"/>
        <v>30</v>
      </c>
      <c r="CG19" s="68">
        <f t="shared" si="3"/>
        <v>27</v>
      </c>
      <c r="CH19" s="68">
        <f t="shared" si="3"/>
        <v>27</v>
      </c>
      <c r="CI19" s="68">
        <f t="shared" si="3"/>
        <v>24</v>
      </c>
      <c r="CJ19" s="68">
        <f t="shared" si="3"/>
        <v>23</v>
      </c>
      <c r="CK19" s="68">
        <f t="shared" si="3"/>
        <v>23</v>
      </c>
      <c r="CL19" s="68">
        <f t="shared" si="3"/>
        <v>23</v>
      </c>
      <c r="CM19" s="68">
        <f t="shared" si="3"/>
        <v>22</v>
      </c>
      <c r="CN19" s="68">
        <f t="shared" si="3"/>
        <v>22</v>
      </c>
      <c r="CO19" s="68">
        <f t="shared" si="3"/>
        <v>22</v>
      </c>
      <c r="CP19" s="68">
        <f t="shared" si="3"/>
        <v>21</v>
      </c>
      <c r="CQ19" s="68">
        <f t="shared" si="3"/>
        <v>21</v>
      </c>
      <c r="CR19" s="68">
        <f t="shared" si="3"/>
        <v>20</v>
      </c>
      <c r="CS19" s="68">
        <f t="shared" si="3"/>
        <v>20</v>
      </c>
      <c r="CT19" s="68">
        <f t="shared" si="3"/>
        <v>19</v>
      </c>
      <c r="CU19" s="68">
        <f t="shared" si="3"/>
        <v>17</v>
      </c>
      <c r="CV19" s="68">
        <f t="shared" si="3"/>
        <v>17</v>
      </c>
      <c r="CW19" s="68">
        <f t="shared" si="3"/>
        <v>16</v>
      </c>
      <c r="CX19" s="68">
        <f t="shared" si="3"/>
        <v>15</v>
      </c>
      <c r="CY19" s="68">
        <f t="shared" ref="CY19:DJ19" si="4">SUM(CY2:CY17)</f>
        <v>14</v>
      </c>
      <c r="CZ19" s="68">
        <f t="shared" si="4"/>
        <v>13</v>
      </c>
      <c r="DA19" s="68">
        <f t="shared" si="4"/>
        <v>13</v>
      </c>
      <c r="DB19" s="68">
        <f t="shared" si="4"/>
        <v>12</v>
      </c>
      <c r="DC19" s="68">
        <f t="shared" si="4"/>
        <v>10</v>
      </c>
      <c r="DD19" s="68">
        <f t="shared" si="4"/>
        <v>10</v>
      </c>
      <c r="DE19" s="68">
        <f t="shared" si="4"/>
        <v>9</v>
      </c>
      <c r="DF19" s="68">
        <f t="shared" si="4"/>
        <v>8</v>
      </c>
      <c r="DG19" s="68">
        <f t="shared" si="4"/>
        <v>8</v>
      </c>
      <c r="DH19" s="68">
        <f t="shared" si="4"/>
        <v>8</v>
      </c>
      <c r="DI19" s="68">
        <f t="shared" si="4"/>
        <v>6</v>
      </c>
      <c r="DJ19" s="68">
        <f t="shared" si="4"/>
        <v>3</v>
      </c>
    </row>
    <row r="20" spans="1:114">
      <c r="A20" s="73" t="s">
        <v>3024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A67A-2D06-BB45-9975-1DC90384B40C}">
  <dimension ref="A1:ACC22"/>
  <sheetViews>
    <sheetView zoomScale="150" zoomScaleNormal="150" workbookViewId="0">
      <pane xSplit="7" ySplit="5" topLeftCell="ABZ6" activePane="bottomRight" state="frozen"/>
      <selection pane="topRight" activeCell="F1" sqref="F1"/>
      <selection pane="bottomLeft" activeCell="A5" sqref="A5"/>
      <selection pane="bottomRight" activeCell="F6" sqref="F6:F17"/>
    </sheetView>
  </sheetViews>
  <sheetFormatPr baseColWidth="10" defaultRowHeight="16"/>
  <cols>
    <col min="1" max="1" width="10.5" style="1" customWidth="1"/>
    <col min="2" max="2" width="15" style="1" customWidth="1"/>
    <col min="3" max="3" width="13.33203125" style="1" customWidth="1"/>
    <col min="4" max="5" width="9.33203125" style="1" customWidth="1"/>
    <col min="6" max="6" width="18.83203125" style="1" customWidth="1"/>
    <col min="7" max="7" width="10.6640625" style="1" customWidth="1"/>
    <col min="8" max="9" width="11" style="1" customWidth="1"/>
    <col min="10" max="16384" width="10.83203125" style="1"/>
  </cols>
  <sheetData>
    <row r="1" spans="1:757">
      <c r="G1" s="13" t="s">
        <v>1103</v>
      </c>
    </row>
    <row r="2" spans="1:757">
      <c r="G2" s="13" t="s">
        <v>3009</v>
      </c>
      <c r="H2" s="1" t="s">
        <v>3007</v>
      </c>
      <c r="I2" s="1" t="s">
        <v>3007</v>
      </c>
      <c r="J2" s="1" t="s">
        <v>3007</v>
      </c>
      <c r="K2" s="1" t="s">
        <v>3007</v>
      </c>
      <c r="L2" s="1" t="s">
        <v>3007</v>
      </c>
      <c r="M2" s="1" t="s">
        <v>3006</v>
      </c>
      <c r="N2" s="1" t="s">
        <v>3006</v>
      </c>
      <c r="O2" s="1" t="s">
        <v>3006</v>
      </c>
      <c r="P2" s="1" t="s">
        <v>3006</v>
      </c>
      <c r="Q2" s="1" t="s">
        <v>3006</v>
      </c>
      <c r="R2" s="1" t="s">
        <v>3006</v>
      </c>
      <c r="T2" s="1" t="s">
        <v>3006</v>
      </c>
      <c r="U2" s="1" t="s">
        <v>3006</v>
      </c>
      <c r="V2" s="1" t="s">
        <v>3006</v>
      </c>
      <c r="W2" s="1" t="s">
        <v>3007</v>
      </c>
      <c r="Y2" s="1" t="s">
        <v>3006</v>
      </c>
      <c r="AA2" s="1" t="s">
        <v>3007</v>
      </c>
      <c r="AB2" s="1" t="s">
        <v>3006</v>
      </c>
      <c r="AC2" s="1" t="s">
        <v>3006</v>
      </c>
      <c r="AD2" s="1" t="s">
        <v>3006</v>
      </c>
      <c r="AE2" s="1" t="s">
        <v>3007</v>
      </c>
      <c r="AF2" s="1" t="s">
        <v>3006</v>
      </c>
      <c r="AG2" s="1" t="s">
        <v>3006</v>
      </c>
      <c r="AH2" s="1" t="s">
        <v>3007</v>
      </c>
      <c r="AI2" s="1" t="s">
        <v>3007</v>
      </c>
      <c r="AJ2" s="1" t="s">
        <v>3007</v>
      </c>
      <c r="AK2" s="1" t="s">
        <v>3007</v>
      </c>
      <c r="AL2" s="1" t="s">
        <v>3007</v>
      </c>
      <c r="AM2" s="1" t="s">
        <v>3006</v>
      </c>
      <c r="AN2" s="1" t="s">
        <v>3007</v>
      </c>
      <c r="AO2" s="1" t="s">
        <v>3007</v>
      </c>
      <c r="AP2" s="1" t="s">
        <v>3006</v>
      </c>
      <c r="AQ2" s="1" t="s">
        <v>3006</v>
      </c>
      <c r="AR2" s="1" t="s">
        <v>3007</v>
      </c>
      <c r="AT2" s="1" t="s">
        <v>3006</v>
      </c>
      <c r="AU2" s="1" t="s">
        <v>3007</v>
      </c>
      <c r="AV2" s="1" t="s">
        <v>3007</v>
      </c>
      <c r="AX2" s="1" t="s">
        <v>3006</v>
      </c>
      <c r="AY2" s="1" t="s">
        <v>3007</v>
      </c>
      <c r="AZ2" s="1" t="s">
        <v>3007</v>
      </c>
      <c r="BA2" s="1" t="s">
        <v>3006</v>
      </c>
      <c r="BB2" s="1" t="s">
        <v>3007</v>
      </c>
      <c r="BC2" s="1" t="s">
        <v>3007</v>
      </c>
      <c r="BD2" s="1" t="s">
        <v>3006</v>
      </c>
      <c r="BG2" s="1" t="s">
        <v>3007</v>
      </c>
      <c r="BI2" s="1" t="s">
        <v>3006</v>
      </c>
      <c r="BJ2" s="1" t="s">
        <v>3006</v>
      </c>
      <c r="BK2" s="1" t="s">
        <v>3006</v>
      </c>
      <c r="BL2" s="1" t="s">
        <v>3007</v>
      </c>
      <c r="BM2" s="1" t="s">
        <v>3006</v>
      </c>
      <c r="BO2" s="1" t="s">
        <v>3006</v>
      </c>
      <c r="BP2" s="1" t="s">
        <v>3007</v>
      </c>
      <c r="BQ2" s="1" t="s">
        <v>3006</v>
      </c>
      <c r="BR2" s="1" t="s">
        <v>3007</v>
      </c>
      <c r="BS2" s="1" t="s">
        <v>3006</v>
      </c>
      <c r="BT2" s="1" t="s">
        <v>3006</v>
      </c>
      <c r="BU2" s="1" t="s">
        <v>3007</v>
      </c>
      <c r="BV2" s="1" t="s">
        <v>3006</v>
      </c>
      <c r="BW2" s="1" t="s">
        <v>3007</v>
      </c>
      <c r="BX2" s="1" t="s">
        <v>3007</v>
      </c>
      <c r="BY2" s="1" t="s">
        <v>3006</v>
      </c>
      <c r="BZ2" s="1" t="s">
        <v>3006</v>
      </c>
      <c r="CA2" s="1" t="s">
        <v>3006</v>
      </c>
      <c r="CB2" s="1" t="s">
        <v>3006</v>
      </c>
      <c r="CC2" s="1" t="s">
        <v>3006</v>
      </c>
      <c r="CD2" s="1" t="s">
        <v>3006</v>
      </c>
      <c r="CE2" s="1" t="s">
        <v>3007</v>
      </c>
      <c r="CF2" s="1" t="s">
        <v>3007</v>
      </c>
      <c r="CG2" s="1" t="s">
        <v>3007</v>
      </c>
      <c r="CI2" s="1" t="s">
        <v>3006</v>
      </c>
      <c r="CJ2" s="1" t="s">
        <v>3006</v>
      </c>
      <c r="CK2" s="1" t="s">
        <v>3006</v>
      </c>
      <c r="CL2" s="1" t="s">
        <v>3006</v>
      </c>
      <c r="CM2" s="1" t="s">
        <v>3006</v>
      </c>
      <c r="CO2" s="1" t="s">
        <v>3007</v>
      </c>
      <c r="CP2" s="1" t="s">
        <v>3007</v>
      </c>
      <c r="CQ2" s="1" t="s">
        <v>3006</v>
      </c>
      <c r="CR2" s="1" t="s">
        <v>3007</v>
      </c>
      <c r="CS2" s="1" t="s">
        <v>3006</v>
      </c>
      <c r="CT2" s="1" t="s">
        <v>3006</v>
      </c>
      <c r="CU2" s="1" t="s">
        <v>3007</v>
      </c>
      <c r="CV2" s="1" t="s">
        <v>3006</v>
      </c>
      <c r="CW2" s="1" t="s">
        <v>3007</v>
      </c>
      <c r="CY2" s="1" t="s">
        <v>3007</v>
      </c>
      <c r="CZ2" s="1" t="s">
        <v>3006</v>
      </c>
      <c r="DA2" s="1" t="s">
        <v>3006</v>
      </c>
      <c r="DB2" s="1" t="s">
        <v>3007</v>
      </c>
      <c r="DC2" s="1" t="s">
        <v>3007</v>
      </c>
      <c r="DD2" s="1" t="s">
        <v>3006</v>
      </c>
      <c r="DE2" s="1" t="s">
        <v>3007</v>
      </c>
      <c r="DG2" s="1" t="s">
        <v>3006</v>
      </c>
      <c r="DH2" s="1" t="s">
        <v>3007</v>
      </c>
      <c r="DI2" s="1" t="s">
        <v>3007</v>
      </c>
      <c r="DJ2" s="1" t="s">
        <v>3007</v>
      </c>
      <c r="DK2" s="1" t="s">
        <v>3007</v>
      </c>
      <c r="DL2" s="1" t="s">
        <v>3006</v>
      </c>
      <c r="DM2" s="1" t="s">
        <v>3006</v>
      </c>
      <c r="DN2" s="1" t="s">
        <v>3006</v>
      </c>
      <c r="DO2" s="1" t="s">
        <v>3006</v>
      </c>
      <c r="DP2" s="1" t="s">
        <v>3007</v>
      </c>
      <c r="DQ2" s="1" t="s">
        <v>3006</v>
      </c>
      <c r="DR2" s="1" t="s">
        <v>3006</v>
      </c>
      <c r="DS2" s="1" t="s">
        <v>3006</v>
      </c>
      <c r="DT2" s="1" t="s">
        <v>3006</v>
      </c>
      <c r="DU2" s="1" t="s">
        <v>3007</v>
      </c>
      <c r="DW2" s="1" t="s">
        <v>3007</v>
      </c>
      <c r="DX2" s="1" t="s">
        <v>3006</v>
      </c>
      <c r="DY2" s="1" t="s">
        <v>3007</v>
      </c>
      <c r="DZ2" s="1" t="s">
        <v>3006</v>
      </c>
      <c r="EA2" s="1" t="s">
        <v>3007</v>
      </c>
      <c r="EB2" s="1" t="s">
        <v>3006</v>
      </c>
      <c r="EC2" s="1" t="s">
        <v>3007</v>
      </c>
      <c r="ED2" s="1" t="s">
        <v>3006</v>
      </c>
      <c r="EE2" s="1" t="s">
        <v>3006</v>
      </c>
      <c r="EF2" s="1" t="s">
        <v>3006</v>
      </c>
      <c r="EG2" s="1" t="s">
        <v>3006</v>
      </c>
      <c r="EH2" s="1" t="s">
        <v>3007</v>
      </c>
      <c r="EJ2" s="1" t="s">
        <v>3006</v>
      </c>
      <c r="EK2" s="1" t="s">
        <v>3007</v>
      </c>
      <c r="EL2" s="1" t="s">
        <v>3007</v>
      </c>
      <c r="EM2" s="1" t="s">
        <v>3006</v>
      </c>
      <c r="EN2" s="1" t="s">
        <v>3006</v>
      </c>
      <c r="EO2" s="1" t="s">
        <v>3006</v>
      </c>
      <c r="EP2" s="1" t="s">
        <v>3007</v>
      </c>
      <c r="EQ2" s="1" t="s">
        <v>3007</v>
      </c>
      <c r="ER2" s="1" t="s">
        <v>3006</v>
      </c>
      <c r="ES2" s="1" t="s">
        <v>3006</v>
      </c>
      <c r="EU2" s="1" t="s">
        <v>3006</v>
      </c>
      <c r="EV2" s="1" t="s">
        <v>3006</v>
      </c>
      <c r="EW2" s="1" t="s">
        <v>3006</v>
      </c>
      <c r="EY2" s="1" t="s">
        <v>3006</v>
      </c>
      <c r="EZ2" s="1" t="s">
        <v>3006</v>
      </c>
      <c r="FA2" s="1" t="s">
        <v>3007</v>
      </c>
      <c r="FB2" s="1" t="s">
        <v>3007</v>
      </c>
      <c r="FD2" s="1" t="s">
        <v>3006</v>
      </c>
      <c r="FF2" s="1" t="s">
        <v>3006</v>
      </c>
      <c r="FI2" s="1" t="s">
        <v>3006</v>
      </c>
      <c r="FJ2" s="1" t="s">
        <v>3006</v>
      </c>
      <c r="FK2" s="1" t="s">
        <v>3006</v>
      </c>
      <c r="FM2" s="1" t="s">
        <v>3006</v>
      </c>
      <c r="FN2" s="1" t="s">
        <v>3006</v>
      </c>
      <c r="FO2" s="1" t="s">
        <v>3007</v>
      </c>
      <c r="FQ2" s="1" t="s">
        <v>3007</v>
      </c>
      <c r="FR2" s="1" t="s">
        <v>3006</v>
      </c>
      <c r="FS2" s="1" t="s">
        <v>3007</v>
      </c>
      <c r="FT2" s="1" t="s">
        <v>3006</v>
      </c>
      <c r="FW2" s="1" t="s">
        <v>3006</v>
      </c>
      <c r="FX2" s="1" t="s">
        <v>3006</v>
      </c>
      <c r="FZ2" s="1" t="s">
        <v>3006</v>
      </c>
      <c r="GA2" s="1" t="s">
        <v>3006</v>
      </c>
      <c r="GB2" s="1" t="s">
        <v>3006</v>
      </c>
      <c r="GC2" s="1" t="s">
        <v>3007</v>
      </c>
      <c r="GE2" s="1" t="s">
        <v>3007</v>
      </c>
      <c r="GF2" s="1" t="s">
        <v>3006</v>
      </c>
      <c r="GG2" s="1" t="s">
        <v>3007</v>
      </c>
      <c r="GH2" s="1" t="s">
        <v>3006</v>
      </c>
      <c r="GI2" s="1" t="s">
        <v>3006</v>
      </c>
      <c r="GJ2" s="1" t="s">
        <v>3006</v>
      </c>
      <c r="GK2" s="1" t="s">
        <v>3006</v>
      </c>
      <c r="GL2" s="1" t="s">
        <v>3007</v>
      </c>
      <c r="GM2" s="1" t="s">
        <v>3006</v>
      </c>
      <c r="GN2" s="1" t="s">
        <v>3006</v>
      </c>
      <c r="GO2" s="1" t="s">
        <v>3006</v>
      </c>
      <c r="GP2" s="1" t="s">
        <v>3006</v>
      </c>
      <c r="GQ2" s="1" t="s">
        <v>3006</v>
      </c>
      <c r="GR2" s="1" t="s">
        <v>3007</v>
      </c>
      <c r="GS2" s="1" t="s">
        <v>3006</v>
      </c>
      <c r="GU2" s="1" t="s">
        <v>3006</v>
      </c>
      <c r="GV2" s="1" t="s">
        <v>3006</v>
      </c>
      <c r="GW2" s="1" t="s">
        <v>3006</v>
      </c>
      <c r="GX2" s="1" t="s">
        <v>3006</v>
      </c>
      <c r="GY2" s="1" t="s">
        <v>3006</v>
      </c>
      <c r="GZ2" s="1" t="s">
        <v>3007</v>
      </c>
      <c r="HA2" s="1" t="s">
        <v>3007</v>
      </c>
      <c r="HB2" s="1" t="s">
        <v>3006</v>
      </c>
      <c r="HC2" s="1" t="s">
        <v>3007</v>
      </c>
      <c r="HD2" s="1" t="s">
        <v>3006</v>
      </c>
      <c r="HE2" s="1" t="s">
        <v>3006</v>
      </c>
      <c r="HF2" s="1" t="s">
        <v>3006</v>
      </c>
      <c r="HG2" s="1" t="s">
        <v>3007</v>
      </c>
      <c r="HH2" s="1" t="s">
        <v>3006</v>
      </c>
      <c r="HI2" s="1" t="s">
        <v>3006</v>
      </c>
      <c r="HJ2" s="1" t="s">
        <v>3007</v>
      </c>
      <c r="HK2" s="1" t="s">
        <v>3006</v>
      </c>
      <c r="HM2" s="1" t="s">
        <v>3006</v>
      </c>
      <c r="HN2" s="1" t="s">
        <v>3006</v>
      </c>
      <c r="HO2" s="1" t="s">
        <v>3006</v>
      </c>
      <c r="HP2" s="1" t="s">
        <v>3007</v>
      </c>
      <c r="HQ2" s="1" t="s">
        <v>3007</v>
      </c>
      <c r="HR2" s="1" t="s">
        <v>3007</v>
      </c>
      <c r="HU2" s="1" t="s">
        <v>3006</v>
      </c>
      <c r="HV2" s="1" t="s">
        <v>3006</v>
      </c>
      <c r="HW2" s="1" t="s">
        <v>3006</v>
      </c>
      <c r="HX2" s="1" t="s">
        <v>3006</v>
      </c>
      <c r="HY2" s="1" t="s">
        <v>3007</v>
      </c>
      <c r="HZ2" s="1" t="s">
        <v>3007</v>
      </c>
      <c r="IA2" s="1" t="s">
        <v>3006</v>
      </c>
      <c r="IB2" s="1" t="s">
        <v>3006</v>
      </c>
      <c r="IC2" s="1" t="s">
        <v>3006</v>
      </c>
      <c r="ID2" s="1" t="s">
        <v>3006</v>
      </c>
      <c r="IF2" s="1" t="s">
        <v>3006</v>
      </c>
      <c r="IG2" s="1" t="s">
        <v>3007</v>
      </c>
      <c r="IH2" s="1" t="s">
        <v>3007</v>
      </c>
      <c r="II2" s="1" t="s">
        <v>3006</v>
      </c>
      <c r="IK2" s="1" t="s">
        <v>3007</v>
      </c>
      <c r="IL2" s="1" t="s">
        <v>3006</v>
      </c>
      <c r="IM2" s="1" t="s">
        <v>3006</v>
      </c>
      <c r="IO2" s="1" t="s">
        <v>3006</v>
      </c>
      <c r="IP2" s="1" t="s">
        <v>3006</v>
      </c>
      <c r="IQ2" s="1" t="s">
        <v>3006</v>
      </c>
      <c r="IR2" s="1" t="s">
        <v>3006</v>
      </c>
      <c r="IT2" s="1" t="s">
        <v>3006</v>
      </c>
      <c r="IU2" s="1" t="s">
        <v>3007</v>
      </c>
      <c r="IW2" s="1" t="s">
        <v>3006</v>
      </c>
      <c r="IX2" s="1" t="s">
        <v>3006</v>
      </c>
      <c r="IY2" s="1" t="s">
        <v>3006</v>
      </c>
      <c r="IZ2" s="1" t="s">
        <v>3006</v>
      </c>
      <c r="JA2" s="1" t="s">
        <v>3006</v>
      </c>
      <c r="JB2" s="1" t="s">
        <v>3007</v>
      </c>
      <c r="JC2" s="1" t="s">
        <v>3006</v>
      </c>
      <c r="JD2" s="1" t="s">
        <v>3007</v>
      </c>
      <c r="JE2" s="1" t="s">
        <v>3006</v>
      </c>
      <c r="JF2" s="1" t="s">
        <v>3006</v>
      </c>
      <c r="JG2" s="1" t="s">
        <v>3007</v>
      </c>
      <c r="JH2" s="1" t="s">
        <v>3007</v>
      </c>
      <c r="JI2" s="1" t="s">
        <v>3006</v>
      </c>
      <c r="JJ2" s="1" t="s">
        <v>3006</v>
      </c>
      <c r="JK2" s="1" t="s">
        <v>3007</v>
      </c>
      <c r="JL2" s="1" t="s">
        <v>3006</v>
      </c>
      <c r="JM2" s="1" t="s">
        <v>3006</v>
      </c>
      <c r="JN2" s="1" t="s">
        <v>3006</v>
      </c>
      <c r="JO2" s="1" t="s">
        <v>3006</v>
      </c>
      <c r="JP2" s="1" t="s">
        <v>3006</v>
      </c>
      <c r="JQ2" s="1" t="s">
        <v>3007</v>
      </c>
      <c r="JR2" s="1" t="s">
        <v>3007</v>
      </c>
      <c r="JS2" s="1" t="s">
        <v>3007</v>
      </c>
      <c r="JT2" s="1" t="s">
        <v>3006</v>
      </c>
      <c r="JU2" s="1" t="s">
        <v>3006</v>
      </c>
      <c r="JW2" s="1" t="s">
        <v>3006</v>
      </c>
      <c r="JX2" s="1" t="s">
        <v>3006</v>
      </c>
      <c r="JY2" s="1" t="s">
        <v>3007</v>
      </c>
      <c r="KA2" s="1" t="s">
        <v>3006</v>
      </c>
      <c r="KB2" s="1" t="s">
        <v>3007</v>
      </c>
      <c r="KD2" s="1" t="s">
        <v>3006</v>
      </c>
      <c r="KE2" s="1" t="s">
        <v>3006</v>
      </c>
      <c r="KF2" s="1" t="s">
        <v>3007</v>
      </c>
      <c r="KG2" s="1" t="s">
        <v>3006</v>
      </c>
      <c r="KH2" s="1" t="s">
        <v>3007</v>
      </c>
      <c r="KI2" s="1" t="s">
        <v>3006</v>
      </c>
      <c r="KJ2" s="1" t="s">
        <v>3006</v>
      </c>
      <c r="KK2" s="1" t="s">
        <v>3006</v>
      </c>
      <c r="KM2" s="1" t="s">
        <v>3007</v>
      </c>
      <c r="KN2" s="1" t="s">
        <v>3006</v>
      </c>
      <c r="KO2" s="1" t="s">
        <v>3007</v>
      </c>
      <c r="KP2" s="1" t="s">
        <v>3007</v>
      </c>
      <c r="KQ2" s="1" t="s">
        <v>3006</v>
      </c>
      <c r="KR2" s="1" t="s">
        <v>3006</v>
      </c>
      <c r="KS2" s="1" t="s">
        <v>3006</v>
      </c>
      <c r="KT2" s="1" t="s">
        <v>3007</v>
      </c>
      <c r="KU2" s="1" t="s">
        <v>3006</v>
      </c>
      <c r="KV2" s="1" t="s">
        <v>3007</v>
      </c>
      <c r="KW2" s="1" t="s">
        <v>3007</v>
      </c>
      <c r="KX2" s="1" t="s">
        <v>3006</v>
      </c>
      <c r="KY2" s="1" t="s">
        <v>3007</v>
      </c>
      <c r="KZ2" s="1" t="s">
        <v>3006</v>
      </c>
      <c r="LA2" s="1" t="s">
        <v>3006</v>
      </c>
      <c r="LB2" s="1" t="s">
        <v>3006</v>
      </c>
      <c r="LC2" s="1" t="s">
        <v>3006</v>
      </c>
      <c r="LD2" s="1" t="s">
        <v>3007</v>
      </c>
      <c r="LE2" s="1" t="s">
        <v>3006</v>
      </c>
      <c r="LF2" s="1" t="s">
        <v>3006</v>
      </c>
      <c r="LG2" s="1" t="s">
        <v>3006</v>
      </c>
      <c r="LJ2" s="1" t="s">
        <v>3006</v>
      </c>
      <c r="LK2" s="1" t="s">
        <v>3006</v>
      </c>
      <c r="LL2" s="1" t="s">
        <v>3006</v>
      </c>
      <c r="LM2" s="1" t="s">
        <v>3006</v>
      </c>
      <c r="LN2" s="1" t="s">
        <v>3006</v>
      </c>
      <c r="LO2" s="1" t="s">
        <v>3006</v>
      </c>
      <c r="LP2" s="1" t="s">
        <v>3007</v>
      </c>
      <c r="LQ2" s="1" t="s">
        <v>3007</v>
      </c>
      <c r="LR2" s="1" t="s">
        <v>3006</v>
      </c>
      <c r="LT2" s="1" t="s">
        <v>3006</v>
      </c>
      <c r="LU2" s="1" t="s">
        <v>3006</v>
      </c>
      <c r="LV2" s="1" t="s">
        <v>3006</v>
      </c>
      <c r="LW2" s="1" t="s">
        <v>3006</v>
      </c>
      <c r="LX2" s="1" t="s">
        <v>3007</v>
      </c>
      <c r="LZ2" s="1" t="s">
        <v>3007</v>
      </c>
      <c r="MA2" s="1" t="s">
        <v>3006</v>
      </c>
      <c r="MB2" s="1" t="s">
        <v>3007</v>
      </c>
      <c r="MC2" s="1" t="s">
        <v>3007</v>
      </c>
      <c r="MD2" s="1" t="s">
        <v>3006</v>
      </c>
      <c r="ME2" s="1" t="s">
        <v>3006</v>
      </c>
      <c r="MF2" s="1" t="s">
        <v>3007</v>
      </c>
      <c r="MG2" s="1" t="s">
        <v>3007</v>
      </c>
      <c r="MH2" s="1" t="s">
        <v>3006</v>
      </c>
      <c r="MI2" s="1" t="s">
        <v>3006</v>
      </c>
      <c r="MJ2" s="1" t="s">
        <v>3006</v>
      </c>
      <c r="MK2" s="1" t="s">
        <v>3006</v>
      </c>
      <c r="ML2" s="1" t="s">
        <v>3006</v>
      </c>
      <c r="MM2" s="1" t="s">
        <v>3006</v>
      </c>
      <c r="MN2" s="1" t="s">
        <v>3006</v>
      </c>
      <c r="MP2" s="1" t="s">
        <v>3007</v>
      </c>
      <c r="MQ2" s="1" t="s">
        <v>3007</v>
      </c>
      <c r="MR2" s="1" t="s">
        <v>3006</v>
      </c>
      <c r="MS2" s="1" t="s">
        <v>3006</v>
      </c>
      <c r="MT2" s="1" t="s">
        <v>3007</v>
      </c>
      <c r="MV2" s="1" t="s">
        <v>3006</v>
      </c>
      <c r="MW2" s="1" t="s">
        <v>3006</v>
      </c>
      <c r="MX2" s="1" t="s">
        <v>3006</v>
      </c>
      <c r="MY2" s="1" t="s">
        <v>3006</v>
      </c>
      <c r="MZ2" s="1" t="s">
        <v>3006</v>
      </c>
      <c r="NA2" s="1" t="s">
        <v>3006</v>
      </c>
      <c r="NB2" s="1" t="s">
        <v>3007</v>
      </c>
      <c r="NC2" s="1" t="s">
        <v>3006</v>
      </c>
      <c r="ND2" s="1" t="s">
        <v>3007</v>
      </c>
      <c r="NF2" s="1" t="s">
        <v>3006</v>
      </c>
      <c r="NH2" s="1" t="s">
        <v>3007</v>
      </c>
      <c r="NI2" s="1" t="s">
        <v>3006</v>
      </c>
      <c r="NJ2" s="1" t="s">
        <v>3006</v>
      </c>
      <c r="NK2" s="1" t="s">
        <v>3006</v>
      </c>
      <c r="NL2" s="1" t="s">
        <v>3006</v>
      </c>
      <c r="NM2" s="1" t="s">
        <v>3007</v>
      </c>
      <c r="NN2" s="1" t="s">
        <v>3007</v>
      </c>
      <c r="NO2" s="1" t="s">
        <v>3006</v>
      </c>
      <c r="NP2" s="1" t="s">
        <v>3007</v>
      </c>
      <c r="NQ2" s="1" t="s">
        <v>3006</v>
      </c>
      <c r="NR2" s="1" t="s">
        <v>3006</v>
      </c>
      <c r="NS2" s="1" t="s">
        <v>3006</v>
      </c>
      <c r="NT2" s="1" t="s">
        <v>3006</v>
      </c>
      <c r="NU2" s="1" t="s">
        <v>3007</v>
      </c>
      <c r="NV2" s="1" t="s">
        <v>3007</v>
      </c>
      <c r="NW2" s="1" t="s">
        <v>3006</v>
      </c>
      <c r="NX2" s="1" t="s">
        <v>3006</v>
      </c>
      <c r="NY2" s="1" t="s">
        <v>3006</v>
      </c>
      <c r="NZ2" s="1" t="s">
        <v>3006</v>
      </c>
      <c r="OA2" s="1" t="s">
        <v>3006</v>
      </c>
      <c r="OB2" s="1" t="s">
        <v>3007</v>
      </c>
      <c r="OD2" s="1" t="s">
        <v>3007</v>
      </c>
      <c r="OE2" s="1" t="s">
        <v>3006</v>
      </c>
      <c r="OF2" s="1" t="s">
        <v>3006</v>
      </c>
      <c r="OG2" s="1" t="s">
        <v>3007</v>
      </c>
      <c r="OH2" s="1" t="s">
        <v>3006</v>
      </c>
      <c r="OJ2" s="1" t="s">
        <v>3006</v>
      </c>
      <c r="OK2" s="1" t="s">
        <v>3006</v>
      </c>
      <c r="OL2" s="1" t="s">
        <v>3006</v>
      </c>
      <c r="OM2" s="1" t="s">
        <v>3006</v>
      </c>
      <c r="ON2" s="1" t="s">
        <v>3006</v>
      </c>
      <c r="OO2" s="1" t="s">
        <v>3006</v>
      </c>
      <c r="OP2" s="1" t="s">
        <v>3006</v>
      </c>
      <c r="OQ2" s="1" t="s">
        <v>3006</v>
      </c>
      <c r="OR2" s="1" t="s">
        <v>3006</v>
      </c>
      <c r="OS2" s="1" t="s">
        <v>3006</v>
      </c>
      <c r="OT2" s="1" t="s">
        <v>3006</v>
      </c>
      <c r="OU2" s="1" t="s">
        <v>3007</v>
      </c>
      <c r="OV2" s="1" t="s">
        <v>3006</v>
      </c>
      <c r="OW2" s="1" t="s">
        <v>3006</v>
      </c>
      <c r="OX2" s="1" t="s">
        <v>3006</v>
      </c>
      <c r="OY2" s="1" t="s">
        <v>3006</v>
      </c>
      <c r="PB2" s="1" t="s">
        <v>3007</v>
      </c>
      <c r="PC2" s="1" t="s">
        <v>3006</v>
      </c>
      <c r="PD2" s="1" t="s">
        <v>3006</v>
      </c>
      <c r="PE2" s="1" t="s">
        <v>3006</v>
      </c>
      <c r="PF2" s="1" t="s">
        <v>3007</v>
      </c>
      <c r="PG2" s="1" t="s">
        <v>3006</v>
      </c>
      <c r="PH2" s="1" t="s">
        <v>3006</v>
      </c>
      <c r="PI2" s="1" t="s">
        <v>3006</v>
      </c>
      <c r="PJ2" s="1" t="s">
        <v>3006</v>
      </c>
      <c r="PK2" s="1" t="s">
        <v>3007</v>
      </c>
      <c r="PL2" s="1" t="s">
        <v>3006</v>
      </c>
      <c r="PM2" s="1" t="s">
        <v>3006</v>
      </c>
      <c r="PN2" s="1" t="s">
        <v>3007</v>
      </c>
      <c r="PP2" s="1" t="s">
        <v>3007</v>
      </c>
      <c r="PQ2" s="1" t="s">
        <v>3006</v>
      </c>
      <c r="PR2" s="1" t="s">
        <v>3007</v>
      </c>
      <c r="PS2" s="1" t="s">
        <v>3006</v>
      </c>
      <c r="PT2" s="1" t="s">
        <v>3006</v>
      </c>
      <c r="PU2" s="1" t="s">
        <v>3006</v>
      </c>
      <c r="PV2" s="1" t="s">
        <v>3006</v>
      </c>
      <c r="PW2" s="1" t="s">
        <v>3006</v>
      </c>
      <c r="PX2" s="1" t="s">
        <v>3006</v>
      </c>
      <c r="PY2" s="1" t="s">
        <v>3006</v>
      </c>
      <c r="PZ2" s="1" t="s">
        <v>3007</v>
      </c>
      <c r="QA2" s="1" t="s">
        <v>3006</v>
      </c>
      <c r="QB2" s="1" t="s">
        <v>3006</v>
      </c>
      <c r="QC2" s="1" t="s">
        <v>3006</v>
      </c>
      <c r="QD2" s="1" t="s">
        <v>3006</v>
      </c>
      <c r="QE2" s="1" t="s">
        <v>3006</v>
      </c>
      <c r="QF2" s="1" t="s">
        <v>3007</v>
      </c>
      <c r="QG2" s="1" t="s">
        <v>3006</v>
      </c>
      <c r="QH2" s="1" t="s">
        <v>3007</v>
      </c>
      <c r="QI2" s="1" t="s">
        <v>3007</v>
      </c>
      <c r="QL2" s="1" t="s">
        <v>3006</v>
      </c>
      <c r="QM2" s="1" t="s">
        <v>3006</v>
      </c>
      <c r="QN2" s="1" t="s">
        <v>3006</v>
      </c>
      <c r="QO2" s="1" t="s">
        <v>3006</v>
      </c>
      <c r="QP2" s="1" t="s">
        <v>3006</v>
      </c>
      <c r="QQ2" s="1" t="s">
        <v>3007</v>
      </c>
      <c r="QR2" s="1" t="s">
        <v>3006</v>
      </c>
      <c r="QS2" s="1" t="s">
        <v>3006</v>
      </c>
      <c r="QT2" s="1" t="s">
        <v>3006</v>
      </c>
      <c r="QU2" s="1" t="s">
        <v>3006</v>
      </c>
      <c r="QV2" s="1" t="s">
        <v>3007</v>
      </c>
      <c r="QW2" s="1" t="s">
        <v>3006</v>
      </c>
      <c r="QX2" s="1" t="s">
        <v>3007</v>
      </c>
      <c r="QY2" s="1" t="s">
        <v>3006</v>
      </c>
      <c r="QZ2" s="1" t="s">
        <v>3007</v>
      </c>
      <c r="RA2" s="1" t="s">
        <v>3006</v>
      </c>
      <c r="RB2" s="1" t="s">
        <v>3006</v>
      </c>
      <c r="RC2" s="1" t="s">
        <v>3006</v>
      </c>
      <c r="RD2" s="1" t="s">
        <v>3006</v>
      </c>
      <c r="RE2" s="1" t="s">
        <v>3006</v>
      </c>
      <c r="RF2" s="1" t="s">
        <v>3006</v>
      </c>
      <c r="RG2" s="1" t="s">
        <v>3007</v>
      </c>
      <c r="RH2" s="1" t="s">
        <v>3006</v>
      </c>
      <c r="RI2" s="1" t="s">
        <v>3006</v>
      </c>
      <c r="RJ2" s="1" t="s">
        <v>3006</v>
      </c>
      <c r="RK2" s="1" t="s">
        <v>3007</v>
      </c>
      <c r="RL2" s="1" t="s">
        <v>3006</v>
      </c>
      <c r="RM2" s="1" t="s">
        <v>3006</v>
      </c>
      <c r="RN2" s="1" t="s">
        <v>3007</v>
      </c>
      <c r="RO2" s="1" t="s">
        <v>3006</v>
      </c>
      <c r="RP2" s="1" t="s">
        <v>3006</v>
      </c>
      <c r="RQ2" s="1" t="s">
        <v>3006</v>
      </c>
      <c r="RR2" s="1" t="s">
        <v>3006</v>
      </c>
      <c r="RS2" s="1" t="s">
        <v>3006</v>
      </c>
      <c r="RT2" s="1" t="s">
        <v>3006</v>
      </c>
      <c r="RU2" s="1" t="s">
        <v>3006</v>
      </c>
      <c r="RV2" s="1" t="s">
        <v>3006</v>
      </c>
      <c r="RW2" s="1" t="s">
        <v>3006</v>
      </c>
      <c r="RY2" s="1" t="s">
        <v>3006</v>
      </c>
      <c r="RZ2" s="1" t="s">
        <v>3007</v>
      </c>
      <c r="SA2" s="1" t="s">
        <v>3006</v>
      </c>
      <c r="SB2" s="1" t="s">
        <v>3006</v>
      </c>
      <c r="SC2" s="1" t="s">
        <v>3006</v>
      </c>
      <c r="SD2" s="1" t="s">
        <v>3006</v>
      </c>
      <c r="SE2" s="1" t="s">
        <v>3006</v>
      </c>
      <c r="SF2" s="1" t="s">
        <v>3006</v>
      </c>
      <c r="SG2" s="1" t="s">
        <v>3007</v>
      </c>
      <c r="SI2" s="1" t="s">
        <v>3006</v>
      </c>
      <c r="SJ2" s="1" t="s">
        <v>3006</v>
      </c>
      <c r="SK2" s="1" t="s">
        <v>3006</v>
      </c>
      <c r="SL2" s="1" t="s">
        <v>3006</v>
      </c>
      <c r="SN2" s="1" t="s">
        <v>3006</v>
      </c>
      <c r="SO2" s="1" t="s">
        <v>3006</v>
      </c>
      <c r="SP2" s="1" t="s">
        <v>3006</v>
      </c>
      <c r="SQ2" s="1" t="s">
        <v>3006</v>
      </c>
      <c r="SR2" s="1" t="s">
        <v>3006</v>
      </c>
      <c r="SU2" s="1" t="s">
        <v>3007</v>
      </c>
      <c r="SV2" s="1" t="s">
        <v>3006</v>
      </c>
      <c r="SW2" s="1" t="s">
        <v>3007</v>
      </c>
      <c r="SY2" s="1" t="s">
        <v>3006</v>
      </c>
      <c r="SZ2" s="1" t="s">
        <v>3006</v>
      </c>
      <c r="TB2" s="1" t="s">
        <v>3006</v>
      </c>
      <c r="TE2" s="1" t="s">
        <v>3006</v>
      </c>
      <c r="TG2" s="1" t="s">
        <v>3006</v>
      </c>
      <c r="TI2" s="1" t="s">
        <v>3006</v>
      </c>
      <c r="TJ2" s="1" t="s">
        <v>3006</v>
      </c>
      <c r="TK2" s="1" t="s">
        <v>3006</v>
      </c>
      <c r="TL2" s="1" t="s">
        <v>3006</v>
      </c>
      <c r="TM2" s="1" t="s">
        <v>3007</v>
      </c>
      <c r="TN2" s="1" t="s">
        <v>3006</v>
      </c>
      <c r="TO2" s="1" t="s">
        <v>3006</v>
      </c>
      <c r="TP2" s="1" t="s">
        <v>3006</v>
      </c>
      <c r="TQ2" s="1" t="s">
        <v>3006</v>
      </c>
      <c r="TR2" s="1" t="s">
        <v>3006</v>
      </c>
      <c r="TS2" s="1" t="s">
        <v>3006</v>
      </c>
      <c r="TT2" s="1" t="s">
        <v>3007</v>
      </c>
      <c r="TU2" s="1" t="s">
        <v>3006</v>
      </c>
      <c r="TV2" s="1" t="s">
        <v>3006</v>
      </c>
      <c r="TW2" s="1" t="s">
        <v>3007</v>
      </c>
      <c r="TX2" s="1" t="s">
        <v>3006</v>
      </c>
      <c r="TY2" s="1" t="s">
        <v>3006</v>
      </c>
      <c r="TZ2" s="1" t="s">
        <v>3006</v>
      </c>
      <c r="UA2" s="1" t="s">
        <v>3007</v>
      </c>
      <c r="UB2" s="1" t="s">
        <v>3007</v>
      </c>
      <c r="UC2" s="1" t="s">
        <v>3007</v>
      </c>
      <c r="UD2" s="1" t="s">
        <v>3007</v>
      </c>
      <c r="UF2" s="1" t="s">
        <v>3006</v>
      </c>
      <c r="UG2" s="1" t="s">
        <v>3006</v>
      </c>
      <c r="UH2" s="1" t="s">
        <v>3006</v>
      </c>
      <c r="UI2" s="1" t="s">
        <v>3006</v>
      </c>
      <c r="UJ2" s="1" t="s">
        <v>3006</v>
      </c>
      <c r="UK2" s="1" t="s">
        <v>3006</v>
      </c>
      <c r="UL2" s="1" t="s">
        <v>3006</v>
      </c>
      <c r="UM2" s="1" t="s">
        <v>3008</v>
      </c>
      <c r="UN2" s="1" t="s">
        <v>3006</v>
      </c>
      <c r="UO2" s="1" t="s">
        <v>3006</v>
      </c>
      <c r="UP2" s="1" t="s">
        <v>3006</v>
      </c>
      <c r="UQ2" s="1" t="s">
        <v>3006</v>
      </c>
      <c r="UR2" s="1" t="s">
        <v>3007</v>
      </c>
      <c r="US2" s="1" t="s">
        <v>3006</v>
      </c>
      <c r="UU2" s="1" t="s">
        <v>3007</v>
      </c>
      <c r="UV2" s="1" t="s">
        <v>3006</v>
      </c>
      <c r="UX2" s="1" t="s">
        <v>3006</v>
      </c>
      <c r="UY2" s="1" t="s">
        <v>3006</v>
      </c>
      <c r="VA2" s="1" t="s">
        <v>3006</v>
      </c>
      <c r="VB2" s="1" t="s">
        <v>3006</v>
      </c>
      <c r="VC2" s="1" t="s">
        <v>3007</v>
      </c>
      <c r="VD2" s="1" t="s">
        <v>3006</v>
      </c>
      <c r="VE2" s="1" t="s">
        <v>3006</v>
      </c>
      <c r="VH2" s="1" t="s">
        <v>3006</v>
      </c>
      <c r="VI2" s="1" t="s">
        <v>3007</v>
      </c>
      <c r="VJ2" s="1" t="s">
        <v>3006</v>
      </c>
      <c r="VL2" s="1" t="s">
        <v>3006</v>
      </c>
      <c r="VM2" s="1" t="s">
        <v>3007</v>
      </c>
      <c r="VO2" s="1" t="s">
        <v>3006</v>
      </c>
      <c r="VP2" s="1" t="s">
        <v>3006</v>
      </c>
      <c r="VQ2" s="1" t="s">
        <v>3006</v>
      </c>
      <c r="VR2" s="1" t="s">
        <v>3006</v>
      </c>
      <c r="VS2" s="1" t="s">
        <v>3006</v>
      </c>
      <c r="VT2" s="1" t="s">
        <v>3006</v>
      </c>
      <c r="VU2" s="1" t="s">
        <v>3006</v>
      </c>
      <c r="VV2" s="1" t="s">
        <v>3006</v>
      </c>
      <c r="VW2" s="1" t="s">
        <v>3007</v>
      </c>
      <c r="VX2" s="1" t="s">
        <v>3006</v>
      </c>
      <c r="VY2" s="1" t="s">
        <v>3007</v>
      </c>
      <c r="VZ2" s="1" t="s">
        <v>3006</v>
      </c>
      <c r="WA2" s="1" t="s">
        <v>3006</v>
      </c>
      <c r="WB2" s="1" t="s">
        <v>3007</v>
      </c>
      <c r="WD2" s="1" t="s">
        <v>3007</v>
      </c>
      <c r="WE2" s="1" t="s">
        <v>3006</v>
      </c>
      <c r="WF2" s="1" t="s">
        <v>3006</v>
      </c>
      <c r="WG2" s="1" t="s">
        <v>3006</v>
      </c>
      <c r="WH2" s="1" t="s">
        <v>3007</v>
      </c>
      <c r="WI2" s="1" t="s">
        <v>3006</v>
      </c>
      <c r="WJ2" s="1" t="s">
        <v>3006</v>
      </c>
      <c r="WK2" s="1" t="s">
        <v>3006</v>
      </c>
      <c r="WL2" s="1" t="s">
        <v>3006</v>
      </c>
      <c r="WM2" s="1" t="s">
        <v>3006</v>
      </c>
      <c r="WN2" s="1" t="s">
        <v>3006</v>
      </c>
      <c r="WO2" s="1" t="s">
        <v>3006</v>
      </c>
      <c r="WP2" s="1" t="s">
        <v>3007</v>
      </c>
      <c r="WQ2" s="1" t="s">
        <v>3006</v>
      </c>
      <c r="WR2" s="1" t="s">
        <v>3006</v>
      </c>
      <c r="WS2" s="1" t="s">
        <v>3006</v>
      </c>
      <c r="WU2" s="1" t="s">
        <v>3007</v>
      </c>
      <c r="WV2" s="1" t="s">
        <v>3006</v>
      </c>
      <c r="WW2" s="1" t="s">
        <v>3006</v>
      </c>
      <c r="WX2" s="1" t="s">
        <v>3006</v>
      </c>
      <c r="WY2" s="1" t="s">
        <v>3007</v>
      </c>
      <c r="WZ2" s="1" t="s">
        <v>3007</v>
      </c>
      <c r="XA2" s="1" t="s">
        <v>3006</v>
      </c>
      <c r="XB2" s="1" t="s">
        <v>3006</v>
      </c>
      <c r="XC2" s="1" t="s">
        <v>3006</v>
      </c>
      <c r="XD2" s="1" t="s">
        <v>3006</v>
      </c>
      <c r="XE2" s="1" t="s">
        <v>3006</v>
      </c>
      <c r="XF2" s="1" t="s">
        <v>3006</v>
      </c>
      <c r="XG2" s="1" t="s">
        <v>3007</v>
      </c>
      <c r="XH2" s="1" t="s">
        <v>3007</v>
      </c>
      <c r="XI2" s="1" t="s">
        <v>3007</v>
      </c>
      <c r="XJ2" s="1" t="s">
        <v>3006</v>
      </c>
      <c r="XK2" s="1" t="s">
        <v>3006</v>
      </c>
      <c r="XL2" s="1" t="s">
        <v>3007</v>
      </c>
      <c r="XM2" s="1" t="s">
        <v>3006</v>
      </c>
      <c r="XN2" s="1" t="s">
        <v>3006</v>
      </c>
      <c r="XO2" s="1" t="s">
        <v>3006</v>
      </c>
      <c r="XP2" s="1" t="s">
        <v>3006</v>
      </c>
      <c r="XQ2" s="1" t="s">
        <v>3006</v>
      </c>
      <c r="XR2" s="1" t="s">
        <v>3006</v>
      </c>
      <c r="XS2" s="1" t="s">
        <v>3006</v>
      </c>
      <c r="XT2" s="1" t="s">
        <v>3006</v>
      </c>
      <c r="XU2" s="1" t="s">
        <v>3006</v>
      </c>
      <c r="XV2" s="1" t="s">
        <v>3006</v>
      </c>
      <c r="XX2" s="1" t="s">
        <v>3006</v>
      </c>
      <c r="XY2" s="1" t="s">
        <v>3006</v>
      </c>
      <c r="XZ2" s="1" t="s">
        <v>3007</v>
      </c>
      <c r="YB2" s="1" t="s">
        <v>3006</v>
      </c>
      <c r="YC2" s="1" t="s">
        <v>3006</v>
      </c>
      <c r="YD2" s="1" t="s">
        <v>3006</v>
      </c>
      <c r="YE2" s="1" t="s">
        <v>3007</v>
      </c>
      <c r="YF2" s="1" t="s">
        <v>3006</v>
      </c>
      <c r="YG2" s="1" t="s">
        <v>3006</v>
      </c>
      <c r="YH2" s="1" t="s">
        <v>3006</v>
      </c>
      <c r="YI2" s="1" t="s">
        <v>3006</v>
      </c>
      <c r="YJ2" s="1" t="s">
        <v>3006</v>
      </c>
      <c r="YK2" s="1" t="s">
        <v>3006</v>
      </c>
      <c r="YL2" s="1" t="s">
        <v>3007</v>
      </c>
      <c r="YM2" s="1" t="s">
        <v>3006</v>
      </c>
      <c r="YN2" s="1" t="s">
        <v>3006</v>
      </c>
      <c r="YO2" s="1" t="s">
        <v>3006</v>
      </c>
      <c r="YQ2" s="1" t="s">
        <v>3007</v>
      </c>
      <c r="YV2" s="1" t="s">
        <v>3006</v>
      </c>
      <c r="YW2" s="1" t="s">
        <v>3006</v>
      </c>
      <c r="YX2" s="1" t="s">
        <v>3006</v>
      </c>
      <c r="YY2" s="1" t="s">
        <v>3006</v>
      </c>
      <c r="YZ2" s="1" t="s">
        <v>3006</v>
      </c>
      <c r="ZA2" s="1" t="s">
        <v>3006</v>
      </c>
      <c r="ZB2" s="1" t="s">
        <v>3006</v>
      </c>
      <c r="ZC2" s="1" t="s">
        <v>3006</v>
      </c>
      <c r="ZE2" s="1" t="s">
        <v>3006</v>
      </c>
      <c r="ZF2" s="1" t="s">
        <v>3008</v>
      </c>
      <c r="ZG2" s="1" t="s">
        <v>3006</v>
      </c>
      <c r="ZH2" s="1" t="s">
        <v>3006</v>
      </c>
      <c r="ZI2" s="1" t="s">
        <v>3006</v>
      </c>
      <c r="ZJ2" s="1" t="s">
        <v>3006</v>
      </c>
      <c r="ZK2" s="1" t="s">
        <v>3006</v>
      </c>
      <c r="ZL2" s="1" t="s">
        <v>3006</v>
      </c>
      <c r="ZM2" s="1" t="s">
        <v>3006</v>
      </c>
      <c r="ZP2" s="1" t="s">
        <v>3006</v>
      </c>
      <c r="ZR2" s="1" t="s">
        <v>3006</v>
      </c>
      <c r="ZS2" s="1" t="s">
        <v>3006</v>
      </c>
      <c r="ZU2" s="1" t="s">
        <v>3006</v>
      </c>
      <c r="ZV2" s="1" t="s">
        <v>3007</v>
      </c>
      <c r="ZW2" s="1" t="s">
        <v>3006</v>
      </c>
      <c r="ZX2" s="1" t="s">
        <v>3006</v>
      </c>
      <c r="ZY2" s="1" t="s">
        <v>3006</v>
      </c>
      <c r="ZZ2" s="1" t="s">
        <v>3006</v>
      </c>
      <c r="AAB2" s="1" t="s">
        <v>3006</v>
      </c>
      <c r="AAC2" s="1" t="s">
        <v>3007</v>
      </c>
      <c r="AAD2" s="1" t="s">
        <v>3006</v>
      </c>
      <c r="AAH2" s="1" t="s">
        <v>3006</v>
      </c>
      <c r="AAI2" s="1" t="s">
        <v>3007</v>
      </c>
      <c r="AAJ2" s="1" t="s">
        <v>3007</v>
      </c>
      <c r="AAK2" s="1" t="s">
        <v>3006</v>
      </c>
      <c r="AAL2" s="1" t="s">
        <v>3006</v>
      </c>
      <c r="AAM2" s="1" t="s">
        <v>3006</v>
      </c>
      <c r="AAN2" s="1" t="s">
        <v>3006</v>
      </c>
      <c r="AAO2" s="1" t="s">
        <v>3006</v>
      </c>
      <c r="AAP2" s="1" t="s">
        <v>3006</v>
      </c>
      <c r="AAS2" s="1" t="s">
        <v>3006</v>
      </c>
      <c r="AAT2" s="1" t="s">
        <v>3006</v>
      </c>
      <c r="AAU2" s="1" t="s">
        <v>3006</v>
      </c>
      <c r="AAV2" s="1" t="s">
        <v>3006</v>
      </c>
      <c r="AAW2" s="1" t="s">
        <v>3006</v>
      </c>
      <c r="AAX2" s="1" t="s">
        <v>3006</v>
      </c>
      <c r="AAY2" s="1" t="s">
        <v>3006</v>
      </c>
      <c r="AAZ2" s="1" t="s">
        <v>3006</v>
      </c>
      <c r="ABB2" s="1" t="s">
        <v>3006</v>
      </c>
      <c r="ABD2" s="1" t="s">
        <v>3006</v>
      </c>
      <c r="ABE2" s="1" t="s">
        <v>3006</v>
      </c>
      <c r="ABF2" s="1" t="s">
        <v>3006</v>
      </c>
      <c r="ABG2" s="1" t="s">
        <v>3006</v>
      </c>
      <c r="ABH2" s="1" t="s">
        <v>3006</v>
      </c>
      <c r="ABJ2" s="1" t="s">
        <v>3006</v>
      </c>
      <c r="ABK2" s="1" t="s">
        <v>3006</v>
      </c>
      <c r="ABL2" s="1" t="s">
        <v>3006</v>
      </c>
      <c r="ABM2" s="1" t="s">
        <v>3006</v>
      </c>
      <c r="ABO2" s="1" t="s">
        <v>3006</v>
      </c>
      <c r="ABP2" s="1" t="s">
        <v>3006</v>
      </c>
      <c r="ABQ2" s="1" t="s">
        <v>3006</v>
      </c>
      <c r="ABR2" s="1" t="s">
        <v>3006</v>
      </c>
      <c r="ABT2" s="1" t="s">
        <v>3006</v>
      </c>
      <c r="ABU2" s="1" t="s">
        <v>3006</v>
      </c>
      <c r="ABV2" s="1" t="s">
        <v>3006</v>
      </c>
      <c r="ABW2" s="1" t="s">
        <v>3007</v>
      </c>
      <c r="ABX2" s="1" t="s">
        <v>3006</v>
      </c>
      <c r="ABY2" s="1" t="s">
        <v>3007</v>
      </c>
      <c r="ACB2" s="1" t="s">
        <v>3007</v>
      </c>
      <c r="ACC2" s="1" t="s">
        <v>3006</v>
      </c>
    </row>
    <row r="3" spans="1:757">
      <c r="F3" s="13"/>
      <c r="G3" s="13" t="s">
        <v>1101</v>
      </c>
      <c r="I3" s="1" t="s">
        <v>222</v>
      </c>
      <c r="AA3" s="1" t="s">
        <v>502</v>
      </c>
      <c r="BU3" s="1" t="s">
        <v>521</v>
      </c>
      <c r="DI3" s="1" t="s">
        <v>3001</v>
      </c>
      <c r="DW3" s="1" t="s">
        <v>3001</v>
      </c>
      <c r="EV3" s="1" t="s">
        <v>3005</v>
      </c>
      <c r="FT3" s="1" t="s">
        <v>3004</v>
      </c>
      <c r="GG3" s="1" t="s">
        <v>3001</v>
      </c>
      <c r="HG3" s="1" t="s">
        <v>3001</v>
      </c>
      <c r="HJ3" s="1" t="s">
        <v>3001</v>
      </c>
      <c r="HW3" s="1" t="s">
        <v>2996</v>
      </c>
      <c r="JK3" s="1" t="s">
        <v>222</v>
      </c>
      <c r="KX3" s="1" t="s">
        <v>3003</v>
      </c>
      <c r="KY3" s="1" t="s">
        <v>3001</v>
      </c>
      <c r="MT3" s="1" t="s">
        <v>3001</v>
      </c>
      <c r="NH3" s="1" t="s">
        <v>3001</v>
      </c>
      <c r="NM3" s="1" t="s">
        <v>3002</v>
      </c>
      <c r="PF3" s="1" t="s">
        <v>3001</v>
      </c>
      <c r="QZ3" s="1" t="s">
        <v>3001</v>
      </c>
      <c r="RW3" s="1" t="s">
        <v>2996</v>
      </c>
      <c r="SG3" s="1" t="s">
        <v>3000</v>
      </c>
      <c r="WF3" s="1" t="s">
        <v>2999</v>
      </c>
      <c r="XI3" s="1" t="s">
        <v>2998</v>
      </c>
      <c r="ZA3" s="1" t="s">
        <v>2997</v>
      </c>
      <c r="ZR3" s="1" t="s">
        <v>2996</v>
      </c>
      <c r="AAI3" s="1" t="s">
        <v>222</v>
      </c>
      <c r="ABY3" s="1" t="s">
        <v>2995</v>
      </c>
    </row>
    <row r="4" spans="1:757">
      <c r="A4" s="13" t="s">
        <v>3027</v>
      </c>
      <c r="F4" s="13"/>
      <c r="G4" s="13" t="s">
        <v>1100</v>
      </c>
      <c r="H4" s="1" t="s">
        <v>2994</v>
      </c>
      <c r="I4" s="1" t="s">
        <v>2993</v>
      </c>
      <c r="J4" s="1" t="s">
        <v>2992</v>
      </c>
      <c r="K4" s="1" t="s">
        <v>2991</v>
      </c>
      <c r="L4" s="1" t="s">
        <v>2990</v>
      </c>
      <c r="M4" s="1" t="s">
        <v>2989</v>
      </c>
      <c r="N4" s="1" t="s">
        <v>2988</v>
      </c>
      <c r="O4" s="1" t="s">
        <v>2987</v>
      </c>
      <c r="P4" s="1" t="s">
        <v>2986</v>
      </c>
      <c r="Q4" s="1" t="s">
        <v>2985</v>
      </c>
      <c r="R4" s="1" t="s">
        <v>2984</v>
      </c>
      <c r="S4" s="1" t="s">
        <v>2983</v>
      </c>
      <c r="T4" s="1" t="s">
        <v>2982</v>
      </c>
      <c r="U4" s="1" t="s">
        <v>2981</v>
      </c>
      <c r="V4" s="1" t="s">
        <v>2980</v>
      </c>
      <c r="W4" s="1" t="s">
        <v>2979</v>
      </c>
      <c r="X4" s="1" t="s">
        <v>2978</v>
      </c>
      <c r="Y4" s="1" t="s">
        <v>2977</v>
      </c>
      <c r="Z4" s="1" t="s">
        <v>2976</v>
      </c>
      <c r="AA4" s="1" t="s">
        <v>2975</v>
      </c>
      <c r="AB4" s="1" t="s">
        <v>2974</v>
      </c>
      <c r="AC4" s="1" t="s">
        <v>2973</v>
      </c>
      <c r="AD4" s="1" t="s">
        <v>2972</v>
      </c>
      <c r="AE4" s="1" t="s">
        <v>2971</v>
      </c>
      <c r="AF4" s="1" t="s">
        <v>2970</v>
      </c>
      <c r="AG4" s="1" t="s">
        <v>2969</v>
      </c>
      <c r="AH4" s="1" t="s">
        <v>2968</v>
      </c>
      <c r="AI4" s="1" t="s">
        <v>2967</v>
      </c>
      <c r="AJ4" s="1" t="s">
        <v>2966</v>
      </c>
      <c r="AK4" s="1" t="s">
        <v>2965</v>
      </c>
      <c r="AL4" s="1" t="s">
        <v>2964</v>
      </c>
      <c r="AM4" s="1" t="s">
        <v>2963</v>
      </c>
      <c r="AN4" s="1" t="s">
        <v>2962</v>
      </c>
      <c r="AO4" s="1" t="s">
        <v>2961</v>
      </c>
      <c r="AP4" s="1" t="s">
        <v>2960</v>
      </c>
      <c r="AQ4" s="1" t="s">
        <v>2959</v>
      </c>
      <c r="AR4" s="1" t="s">
        <v>2958</v>
      </c>
      <c r="AS4" s="1" t="s">
        <v>2957</v>
      </c>
      <c r="AT4" s="1" t="s">
        <v>2956</v>
      </c>
      <c r="AU4" s="1" t="s">
        <v>2955</v>
      </c>
      <c r="AV4" s="1" t="s">
        <v>2954</v>
      </c>
      <c r="AW4" s="1" t="s">
        <v>2953</v>
      </c>
      <c r="AX4" s="1" t="s">
        <v>2952</v>
      </c>
      <c r="AY4" s="1" t="s">
        <v>2951</v>
      </c>
      <c r="AZ4" s="1" t="s">
        <v>2950</v>
      </c>
      <c r="BA4" s="1" t="s">
        <v>2949</v>
      </c>
      <c r="BB4" s="1" t="s">
        <v>2948</v>
      </c>
      <c r="BC4" s="1" t="s">
        <v>2947</v>
      </c>
      <c r="BD4" s="1" t="s">
        <v>2946</v>
      </c>
      <c r="BE4" s="1" t="s">
        <v>2945</v>
      </c>
      <c r="BF4" s="1" t="s">
        <v>2944</v>
      </c>
      <c r="BG4" s="1" t="s">
        <v>2943</v>
      </c>
      <c r="BH4" s="1" t="s">
        <v>2942</v>
      </c>
      <c r="BI4" s="1" t="s">
        <v>2941</v>
      </c>
      <c r="BJ4" s="1" t="s">
        <v>2940</v>
      </c>
      <c r="BK4" s="1" t="s">
        <v>2939</v>
      </c>
      <c r="BL4" s="1" t="s">
        <v>2938</v>
      </c>
      <c r="BM4" s="1" t="s">
        <v>2937</v>
      </c>
      <c r="BN4" s="1" t="s">
        <v>2936</v>
      </c>
      <c r="BO4" s="1" t="s">
        <v>2935</v>
      </c>
      <c r="BP4" s="1" t="s">
        <v>2934</v>
      </c>
      <c r="BQ4" s="1" t="s">
        <v>2933</v>
      </c>
      <c r="BR4" s="1" t="s">
        <v>2932</v>
      </c>
      <c r="BS4" s="1" t="s">
        <v>2931</v>
      </c>
      <c r="BT4" s="1" t="s">
        <v>2930</v>
      </c>
      <c r="BU4" s="1" t="s">
        <v>2929</v>
      </c>
      <c r="BV4" s="1" t="s">
        <v>2928</v>
      </c>
      <c r="BW4" s="1" t="s">
        <v>2927</v>
      </c>
      <c r="BX4" s="1" t="s">
        <v>2926</v>
      </c>
      <c r="BY4" s="1" t="s">
        <v>2925</v>
      </c>
      <c r="BZ4" s="1" t="s">
        <v>2924</v>
      </c>
      <c r="CA4" s="1" t="s">
        <v>2923</v>
      </c>
      <c r="CB4" s="1" t="s">
        <v>2922</v>
      </c>
      <c r="CC4" s="1" t="s">
        <v>2921</v>
      </c>
      <c r="CD4" s="1" t="s">
        <v>2920</v>
      </c>
      <c r="CE4" s="1" t="s">
        <v>2919</v>
      </c>
      <c r="CF4" s="1" t="s">
        <v>2918</v>
      </c>
      <c r="CG4" s="1" t="s">
        <v>2917</v>
      </c>
      <c r="CH4" s="1" t="s">
        <v>2916</v>
      </c>
      <c r="CI4" s="1" t="s">
        <v>2915</v>
      </c>
      <c r="CJ4" s="1" t="s">
        <v>2914</v>
      </c>
      <c r="CK4" s="1" t="s">
        <v>2913</v>
      </c>
      <c r="CL4" s="1" t="s">
        <v>2912</v>
      </c>
      <c r="CM4" s="1" t="s">
        <v>2911</v>
      </c>
      <c r="CN4" s="1" t="s">
        <v>2910</v>
      </c>
      <c r="CO4" s="1" t="s">
        <v>2909</v>
      </c>
      <c r="CP4" s="1" t="s">
        <v>2908</v>
      </c>
      <c r="CQ4" s="1" t="s">
        <v>2907</v>
      </c>
      <c r="CR4" s="1" t="s">
        <v>2906</v>
      </c>
      <c r="CS4" s="1" t="s">
        <v>2905</v>
      </c>
      <c r="CT4" s="1" t="s">
        <v>2904</v>
      </c>
      <c r="CU4" s="1" t="s">
        <v>2903</v>
      </c>
      <c r="CV4" s="1" t="s">
        <v>2902</v>
      </c>
      <c r="CW4" s="1" t="s">
        <v>2901</v>
      </c>
      <c r="CX4" s="1" t="s">
        <v>2900</v>
      </c>
      <c r="CY4" s="1" t="s">
        <v>2899</v>
      </c>
      <c r="CZ4" s="1" t="s">
        <v>2898</v>
      </c>
      <c r="DA4" s="1" t="s">
        <v>2897</v>
      </c>
      <c r="DB4" s="1" t="s">
        <v>2896</v>
      </c>
      <c r="DC4" s="1" t="s">
        <v>2895</v>
      </c>
      <c r="DD4" s="1" t="s">
        <v>2894</v>
      </c>
      <c r="DE4" s="1" t="s">
        <v>2893</v>
      </c>
      <c r="DF4" s="1" t="s">
        <v>2892</v>
      </c>
      <c r="DG4" s="1" t="s">
        <v>2891</v>
      </c>
      <c r="DH4" s="1" t="s">
        <v>2890</v>
      </c>
      <c r="DI4" s="1" t="s">
        <v>2889</v>
      </c>
      <c r="DJ4" s="1" t="s">
        <v>2888</v>
      </c>
      <c r="DK4" s="1" t="s">
        <v>2887</v>
      </c>
      <c r="DL4" s="1" t="s">
        <v>2886</v>
      </c>
      <c r="DM4" s="1" t="s">
        <v>2885</v>
      </c>
      <c r="DN4" s="1" t="s">
        <v>2884</v>
      </c>
      <c r="DO4" s="1" t="s">
        <v>2883</v>
      </c>
      <c r="DP4" s="1" t="s">
        <v>2882</v>
      </c>
      <c r="DQ4" s="1" t="s">
        <v>2881</v>
      </c>
      <c r="DR4" s="1" t="s">
        <v>2880</v>
      </c>
      <c r="DS4" s="1" t="s">
        <v>2879</v>
      </c>
      <c r="DT4" s="1" t="s">
        <v>2878</v>
      </c>
      <c r="DU4" s="1" t="s">
        <v>2877</v>
      </c>
      <c r="DV4" s="1" t="s">
        <v>2876</v>
      </c>
      <c r="DW4" s="1" t="s">
        <v>2875</v>
      </c>
      <c r="DX4" s="1" t="s">
        <v>2874</v>
      </c>
      <c r="DY4" s="1" t="s">
        <v>2873</v>
      </c>
      <c r="DZ4" s="1" t="s">
        <v>2872</v>
      </c>
      <c r="EA4" s="1" t="s">
        <v>2871</v>
      </c>
      <c r="EB4" s="1" t="s">
        <v>2870</v>
      </c>
      <c r="EC4" s="1" t="s">
        <v>2869</v>
      </c>
      <c r="ED4" s="1" t="s">
        <v>2868</v>
      </c>
      <c r="EE4" s="1" t="s">
        <v>2867</v>
      </c>
      <c r="EF4" s="1" t="s">
        <v>2866</v>
      </c>
      <c r="EG4" s="1" t="s">
        <v>2865</v>
      </c>
      <c r="EH4" s="1" t="s">
        <v>2864</v>
      </c>
      <c r="EI4" s="1" t="s">
        <v>2863</v>
      </c>
      <c r="EJ4" s="1" t="s">
        <v>2862</v>
      </c>
      <c r="EK4" s="1" t="s">
        <v>2861</v>
      </c>
      <c r="EL4" s="1" t="s">
        <v>2860</v>
      </c>
      <c r="EM4" s="1" t="s">
        <v>2859</v>
      </c>
      <c r="EN4" s="1" t="s">
        <v>2858</v>
      </c>
      <c r="EO4" s="1" t="s">
        <v>2857</v>
      </c>
      <c r="EP4" s="1" t="s">
        <v>2856</v>
      </c>
      <c r="EQ4" s="1" t="s">
        <v>2855</v>
      </c>
      <c r="ER4" s="1" t="s">
        <v>2854</v>
      </c>
      <c r="ES4" s="1" t="s">
        <v>2853</v>
      </c>
      <c r="ET4" s="1" t="s">
        <v>2852</v>
      </c>
      <c r="EU4" s="1" t="s">
        <v>2851</v>
      </c>
      <c r="EV4" s="1" t="s">
        <v>2850</v>
      </c>
      <c r="EW4" s="1" t="s">
        <v>2849</v>
      </c>
      <c r="EX4" s="1" t="s">
        <v>2848</v>
      </c>
      <c r="EY4" s="1" t="s">
        <v>2847</v>
      </c>
      <c r="EZ4" s="1" t="s">
        <v>2846</v>
      </c>
      <c r="FA4" s="1" t="s">
        <v>2845</v>
      </c>
      <c r="FB4" s="1" t="s">
        <v>2844</v>
      </c>
      <c r="FC4" s="1" t="s">
        <v>2843</v>
      </c>
      <c r="FD4" s="1" t="s">
        <v>2842</v>
      </c>
      <c r="FE4" s="1" t="s">
        <v>2841</v>
      </c>
      <c r="FF4" s="1" t="s">
        <v>2840</v>
      </c>
      <c r="FG4" s="1" t="s">
        <v>2839</v>
      </c>
      <c r="FH4" s="1" t="s">
        <v>2838</v>
      </c>
      <c r="FI4" s="1" t="s">
        <v>2837</v>
      </c>
      <c r="FJ4" s="1" t="s">
        <v>2836</v>
      </c>
      <c r="FK4" s="1" t="s">
        <v>2835</v>
      </c>
      <c r="FL4" s="1" t="s">
        <v>2834</v>
      </c>
      <c r="FM4" s="1" t="s">
        <v>2833</v>
      </c>
      <c r="FN4" s="1" t="s">
        <v>2832</v>
      </c>
      <c r="FO4" s="1" t="s">
        <v>2831</v>
      </c>
      <c r="FP4" s="1" t="s">
        <v>2830</v>
      </c>
      <c r="FQ4" s="1" t="s">
        <v>2829</v>
      </c>
      <c r="FR4" s="1" t="s">
        <v>2828</v>
      </c>
      <c r="FS4" s="1" t="s">
        <v>2827</v>
      </c>
      <c r="FT4" s="1" t="s">
        <v>2826</v>
      </c>
      <c r="FU4" s="1" t="s">
        <v>2825</v>
      </c>
      <c r="FV4" s="1" t="s">
        <v>2824</v>
      </c>
      <c r="FW4" s="1" t="s">
        <v>2823</v>
      </c>
      <c r="FX4" s="1" t="s">
        <v>2822</v>
      </c>
      <c r="FY4" s="1" t="s">
        <v>2821</v>
      </c>
      <c r="FZ4" s="1" t="s">
        <v>2820</v>
      </c>
      <c r="GA4" s="1" t="s">
        <v>2819</v>
      </c>
      <c r="GB4" s="1" t="s">
        <v>2818</v>
      </c>
      <c r="GC4" s="1" t="s">
        <v>2817</v>
      </c>
      <c r="GD4" s="1" t="s">
        <v>2816</v>
      </c>
      <c r="GE4" s="1" t="s">
        <v>2815</v>
      </c>
      <c r="GF4" s="1" t="s">
        <v>2814</v>
      </c>
      <c r="GG4" s="1" t="s">
        <v>2813</v>
      </c>
      <c r="GH4" s="1" t="s">
        <v>2812</v>
      </c>
      <c r="GI4" s="1" t="s">
        <v>2811</v>
      </c>
      <c r="GJ4" s="1" t="s">
        <v>2810</v>
      </c>
      <c r="GK4" s="1" t="s">
        <v>2809</v>
      </c>
      <c r="GL4" s="1" t="s">
        <v>2808</v>
      </c>
      <c r="GM4" s="1" t="s">
        <v>2807</v>
      </c>
      <c r="GN4" s="1" t="s">
        <v>2806</v>
      </c>
      <c r="GO4" s="1" t="s">
        <v>2805</v>
      </c>
      <c r="GP4" s="1" t="s">
        <v>2804</v>
      </c>
      <c r="GQ4" s="1" t="s">
        <v>2803</v>
      </c>
      <c r="GR4" s="1" t="s">
        <v>2802</v>
      </c>
      <c r="GS4" s="1" t="s">
        <v>2801</v>
      </c>
      <c r="GT4" s="1" t="s">
        <v>2800</v>
      </c>
      <c r="GU4" s="1" t="s">
        <v>2799</v>
      </c>
      <c r="GV4" s="1" t="s">
        <v>2798</v>
      </c>
      <c r="GW4" s="1" t="s">
        <v>2797</v>
      </c>
      <c r="GX4" s="1" t="s">
        <v>2796</v>
      </c>
      <c r="GY4" s="1" t="s">
        <v>2795</v>
      </c>
      <c r="GZ4" s="1" t="s">
        <v>2794</v>
      </c>
      <c r="HA4" s="1" t="s">
        <v>2793</v>
      </c>
      <c r="HB4" s="1" t="s">
        <v>2792</v>
      </c>
      <c r="HC4" s="1" t="s">
        <v>2791</v>
      </c>
      <c r="HD4" s="1" t="s">
        <v>2790</v>
      </c>
      <c r="HE4" s="1" t="s">
        <v>2789</v>
      </c>
      <c r="HF4" s="1" t="s">
        <v>2788</v>
      </c>
      <c r="HG4" s="1" t="s">
        <v>2787</v>
      </c>
      <c r="HH4" s="1" t="s">
        <v>2786</v>
      </c>
      <c r="HI4" s="1" t="s">
        <v>2785</v>
      </c>
      <c r="HJ4" s="1" t="s">
        <v>2784</v>
      </c>
      <c r="HK4" s="1" t="s">
        <v>2783</v>
      </c>
      <c r="HL4" s="1" t="s">
        <v>2782</v>
      </c>
      <c r="HM4" s="1" t="s">
        <v>2781</v>
      </c>
      <c r="HN4" s="1" t="s">
        <v>2780</v>
      </c>
      <c r="HO4" s="1" t="s">
        <v>2779</v>
      </c>
      <c r="HP4" s="1" t="s">
        <v>2778</v>
      </c>
      <c r="HQ4" s="1" t="s">
        <v>2777</v>
      </c>
      <c r="HR4" s="1" t="s">
        <v>2776</v>
      </c>
      <c r="HS4" s="1" t="s">
        <v>2775</v>
      </c>
      <c r="HT4" s="1" t="s">
        <v>2774</v>
      </c>
      <c r="HU4" s="1" t="s">
        <v>2773</v>
      </c>
      <c r="HV4" s="1" t="s">
        <v>2772</v>
      </c>
      <c r="HW4" s="1" t="s">
        <v>2771</v>
      </c>
      <c r="HX4" s="1" t="s">
        <v>2770</v>
      </c>
      <c r="HY4" s="1" t="s">
        <v>2769</v>
      </c>
      <c r="HZ4" s="1" t="s">
        <v>2768</v>
      </c>
      <c r="IA4" s="1" t="s">
        <v>2767</v>
      </c>
      <c r="IB4" s="1" t="s">
        <v>2766</v>
      </c>
      <c r="IC4" s="1" t="s">
        <v>2765</v>
      </c>
      <c r="ID4" s="1" t="s">
        <v>2764</v>
      </c>
      <c r="IE4" s="1" t="s">
        <v>2763</v>
      </c>
      <c r="IF4" s="1" t="s">
        <v>2762</v>
      </c>
      <c r="IG4" s="1" t="s">
        <v>2761</v>
      </c>
      <c r="IH4" s="1" t="s">
        <v>2760</v>
      </c>
      <c r="II4" s="1" t="s">
        <v>2759</v>
      </c>
      <c r="IJ4" s="1" t="s">
        <v>2758</v>
      </c>
      <c r="IK4" s="1" t="s">
        <v>2757</v>
      </c>
      <c r="IL4" s="1" t="s">
        <v>2756</v>
      </c>
      <c r="IM4" s="1" t="s">
        <v>2755</v>
      </c>
      <c r="IN4" s="1" t="s">
        <v>2754</v>
      </c>
      <c r="IO4" s="1" t="s">
        <v>2753</v>
      </c>
      <c r="IP4" s="1" t="s">
        <v>2752</v>
      </c>
      <c r="IQ4" s="1" t="s">
        <v>2751</v>
      </c>
      <c r="IR4" s="1" t="s">
        <v>2750</v>
      </c>
      <c r="IS4" s="1" t="s">
        <v>2749</v>
      </c>
      <c r="IT4" s="1" t="s">
        <v>2748</v>
      </c>
      <c r="IU4" s="1" t="s">
        <v>2747</v>
      </c>
      <c r="IV4" s="1" t="s">
        <v>2746</v>
      </c>
      <c r="IW4" s="1" t="s">
        <v>2745</v>
      </c>
      <c r="IX4" s="1" t="s">
        <v>2744</v>
      </c>
      <c r="IY4" s="1" t="s">
        <v>2743</v>
      </c>
      <c r="IZ4" s="1" t="s">
        <v>2742</v>
      </c>
      <c r="JA4" s="1" t="s">
        <v>2741</v>
      </c>
      <c r="JB4" s="1" t="s">
        <v>2740</v>
      </c>
      <c r="JC4" s="1" t="s">
        <v>2739</v>
      </c>
      <c r="JD4" s="1" t="s">
        <v>2738</v>
      </c>
      <c r="JE4" s="1" t="s">
        <v>2737</v>
      </c>
      <c r="JF4" s="1" t="s">
        <v>2736</v>
      </c>
      <c r="JG4" s="1" t="s">
        <v>2735</v>
      </c>
      <c r="JH4" s="1" t="s">
        <v>2734</v>
      </c>
      <c r="JI4" s="1" t="s">
        <v>2733</v>
      </c>
      <c r="JJ4" s="1" t="s">
        <v>2732</v>
      </c>
      <c r="JK4" s="1" t="s">
        <v>2731</v>
      </c>
      <c r="JL4" s="1" t="s">
        <v>2730</v>
      </c>
      <c r="JM4" s="1" t="s">
        <v>2729</v>
      </c>
      <c r="JN4" s="1" t="s">
        <v>2728</v>
      </c>
      <c r="JO4" s="1" t="s">
        <v>2727</v>
      </c>
      <c r="JP4" s="1" t="s">
        <v>2726</v>
      </c>
      <c r="JQ4" s="1" t="s">
        <v>2725</v>
      </c>
      <c r="JR4" s="1" t="s">
        <v>2724</v>
      </c>
      <c r="JS4" s="1" t="s">
        <v>2723</v>
      </c>
      <c r="JT4" s="1" t="s">
        <v>2722</v>
      </c>
      <c r="JU4" s="1" t="s">
        <v>2721</v>
      </c>
      <c r="JV4" s="1" t="s">
        <v>2720</v>
      </c>
      <c r="JW4" s="1" t="s">
        <v>2719</v>
      </c>
      <c r="JX4" s="1" t="s">
        <v>2718</v>
      </c>
      <c r="JY4" s="1" t="s">
        <v>2717</v>
      </c>
      <c r="JZ4" s="1" t="s">
        <v>2716</v>
      </c>
      <c r="KA4" s="1" t="s">
        <v>2715</v>
      </c>
      <c r="KB4" s="1" t="s">
        <v>2714</v>
      </c>
      <c r="KC4" s="1" t="s">
        <v>2713</v>
      </c>
      <c r="KD4" s="1" t="s">
        <v>2712</v>
      </c>
      <c r="KE4" s="1" t="s">
        <v>2711</v>
      </c>
      <c r="KF4" s="1" t="s">
        <v>2710</v>
      </c>
      <c r="KG4" s="1" t="s">
        <v>2709</v>
      </c>
      <c r="KH4" s="1" t="s">
        <v>2708</v>
      </c>
      <c r="KI4" s="1" t="s">
        <v>2707</v>
      </c>
      <c r="KJ4" s="1" t="s">
        <v>2706</v>
      </c>
      <c r="KK4" s="1" t="s">
        <v>2705</v>
      </c>
      <c r="KL4" s="1" t="s">
        <v>2704</v>
      </c>
      <c r="KM4" s="1" t="s">
        <v>2703</v>
      </c>
      <c r="KN4" s="1" t="s">
        <v>2702</v>
      </c>
      <c r="KO4" s="1" t="s">
        <v>2701</v>
      </c>
      <c r="KP4" s="1" t="s">
        <v>2700</v>
      </c>
      <c r="KQ4" s="1" t="s">
        <v>2699</v>
      </c>
      <c r="KR4" s="1" t="s">
        <v>2698</v>
      </c>
      <c r="KS4" s="1" t="s">
        <v>2697</v>
      </c>
      <c r="KT4" s="1" t="s">
        <v>2696</v>
      </c>
      <c r="KU4" s="1" t="s">
        <v>2695</v>
      </c>
      <c r="KV4" s="1" t="s">
        <v>2694</v>
      </c>
      <c r="KW4" s="1" t="s">
        <v>2693</v>
      </c>
      <c r="KX4" s="1" t="s">
        <v>2692</v>
      </c>
      <c r="KY4" s="1" t="s">
        <v>2691</v>
      </c>
      <c r="KZ4" s="1" t="s">
        <v>2690</v>
      </c>
      <c r="LA4" s="1" t="s">
        <v>2689</v>
      </c>
      <c r="LB4" s="1" t="s">
        <v>2688</v>
      </c>
      <c r="LC4" s="1" t="s">
        <v>2687</v>
      </c>
      <c r="LD4" s="1" t="s">
        <v>2686</v>
      </c>
      <c r="LE4" s="1" t="s">
        <v>2685</v>
      </c>
      <c r="LF4" s="1" t="s">
        <v>2684</v>
      </c>
      <c r="LG4" s="1" t="s">
        <v>2683</v>
      </c>
      <c r="LH4" s="1" t="s">
        <v>2682</v>
      </c>
      <c r="LI4" s="1" t="s">
        <v>2681</v>
      </c>
      <c r="LJ4" s="1" t="s">
        <v>2680</v>
      </c>
      <c r="LK4" s="1" t="s">
        <v>2679</v>
      </c>
      <c r="LL4" s="1" t="s">
        <v>2678</v>
      </c>
      <c r="LM4" s="1" t="s">
        <v>2677</v>
      </c>
      <c r="LN4" s="1" t="s">
        <v>2676</v>
      </c>
      <c r="LO4" s="1" t="s">
        <v>2675</v>
      </c>
      <c r="LP4" s="1" t="s">
        <v>2674</v>
      </c>
      <c r="LQ4" s="1" t="s">
        <v>2673</v>
      </c>
      <c r="LR4" s="1" t="s">
        <v>2672</v>
      </c>
      <c r="LS4" s="1" t="s">
        <v>2671</v>
      </c>
      <c r="LT4" s="1" t="s">
        <v>2670</v>
      </c>
      <c r="LU4" s="1" t="s">
        <v>2669</v>
      </c>
      <c r="LV4" s="1" t="s">
        <v>2668</v>
      </c>
      <c r="LW4" s="1" t="s">
        <v>2667</v>
      </c>
      <c r="LX4" s="1" t="s">
        <v>2666</v>
      </c>
      <c r="LY4" s="1" t="s">
        <v>2665</v>
      </c>
      <c r="LZ4" s="1" t="s">
        <v>2664</v>
      </c>
      <c r="MA4" s="1" t="s">
        <v>2663</v>
      </c>
      <c r="MB4" s="1" t="s">
        <v>2662</v>
      </c>
      <c r="MC4" s="1" t="s">
        <v>2661</v>
      </c>
      <c r="MD4" s="1" t="s">
        <v>2660</v>
      </c>
      <c r="ME4" s="1" t="s">
        <v>2659</v>
      </c>
      <c r="MF4" s="1" t="s">
        <v>2658</v>
      </c>
      <c r="MG4" s="1" t="s">
        <v>2657</v>
      </c>
      <c r="MH4" s="1" t="s">
        <v>2656</v>
      </c>
      <c r="MI4" s="1" t="s">
        <v>2655</v>
      </c>
      <c r="MJ4" s="1" t="s">
        <v>2654</v>
      </c>
      <c r="MK4" s="1" t="s">
        <v>2653</v>
      </c>
      <c r="ML4" s="1" t="s">
        <v>2652</v>
      </c>
      <c r="MM4" s="1" t="s">
        <v>2651</v>
      </c>
      <c r="MN4" s="1" t="s">
        <v>2650</v>
      </c>
      <c r="MO4" s="1" t="s">
        <v>2649</v>
      </c>
      <c r="MP4" s="1" t="s">
        <v>2648</v>
      </c>
      <c r="MQ4" s="1" t="s">
        <v>2647</v>
      </c>
      <c r="MR4" s="1" t="s">
        <v>2646</v>
      </c>
      <c r="MS4" s="1" t="s">
        <v>2645</v>
      </c>
      <c r="MT4" s="1" t="s">
        <v>2644</v>
      </c>
      <c r="MU4" s="1" t="s">
        <v>2643</v>
      </c>
      <c r="MV4" s="1" t="s">
        <v>2642</v>
      </c>
      <c r="MW4" s="1" t="s">
        <v>2641</v>
      </c>
      <c r="MX4" s="1" t="s">
        <v>2640</v>
      </c>
      <c r="MY4" s="1" t="s">
        <v>2639</v>
      </c>
      <c r="MZ4" s="1" t="s">
        <v>2638</v>
      </c>
      <c r="NA4" s="1" t="s">
        <v>2637</v>
      </c>
      <c r="NB4" s="1" t="s">
        <v>2636</v>
      </c>
      <c r="NC4" s="1" t="s">
        <v>2635</v>
      </c>
      <c r="ND4" s="1" t="s">
        <v>2634</v>
      </c>
      <c r="NE4" s="1" t="s">
        <v>2633</v>
      </c>
      <c r="NF4" s="1" t="s">
        <v>2632</v>
      </c>
      <c r="NG4" s="1" t="s">
        <v>2631</v>
      </c>
      <c r="NH4" s="1" t="s">
        <v>2630</v>
      </c>
      <c r="NI4" s="1" t="s">
        <v>2629</v>
      </c>
      <c r="NJ4" s="1" t="s">
        <v>2628</v>
      </c>
      <c r="NK4" s="1" t="s">
        <v>2627</v>
      </c>
      <c r="NL4" s="1" t="s">
        <v>2626</v>
      </c>
      <c r="NM4" s="1" t="s">
        <v>2625</v>
      </c>
      <c r="NN4" s="1" t="s">
        <v>2624</v>
      </c>
      <c r="NO4" s="1" t="s">
        <v>2623</v>
      </c>
      <c r="NP4" s="1" t="s">
        <v>2622</v>
      </c>
      <c r="NQ4" s="1" t="s">
        <v>2621</v>
      </c>
      <c r="NR4" s="1" t="s">
        <v>2620</v>
      </c>
      <c r="NS4" s="1" t="s">
        <v>2619</v>
      </c>
      <c r="NT4" s="1" t="s">
        <v>2618</v>
      </c>
      <c r="NU4" s="1" t="s">
        <v>2617</v>
      </c>
      <c r="NV4" s="1" t="s">
        <v>2616</v>
      </c>
      <c r="NW4" s="1" t="s">
        <v>2615</v>
      </c>
      <c r="NX4" s="1" t="s">
        <v>2614</v>
      </c>
      <c r="NY4" s="1" t="s">
        <v>2613</v>
      </c>
      <c r="NZ4" s="1" t="s">
        <v>2612</v>
      </c>
      <c r="OA4" s="1" t="s">
        <v>2611</v>
      </c>
      <c r="OB4" s="1" t="s">
        <v>2610</v>
      </c>
      <c r="OC4" s="1" t="s">
        <v>2609</v>
      </c>
      <c r="OD4" s="1" t="s">
        <v>2608</v>
      </c>
      <c r="OE4" s="1" t="s">
        <v>2607</v>
      </c>
      <c r="OF4" s="1" t="s">
        <v>2606</v>
      </c>
      <c r="OG4" s="1" t="s">
        <v>2605</v>
      </c>
      <c r="OH4" s="1" t="s">
        <v>2604</v>
      </c>
      <c r="OI4" s="1" t="s">
        <v>2603</v>
      </c>
      <c r="OJ4" s="1" t="s">
        <v>2602</v>
      </c>
      <c r="OK4" s="1" t="s">
        <v>2601</v>
      </c>
      <c r="OL4" s="1" t="s">
        <v>2600</v>
      </c>
      <c r="OM4" s="1" t="s">
        <v>2599</v>
      </c>
      <c r="ON4" s="1" t="s">
        <v>2598</v>
      </c>
      <c r="OO4" s="1" t="s">
        <v>2597</v>
      </c>
      <c r="OP4" s="1" t="s">
        <v>2596</v>
      </c>
      <c r="OQ4" s="1" t="s">
        <v>2595</v>
      </c>
      <c r="OR4" s="1" t="s">
        <v>2594</v>
      </c>
      <c r="OS4" s="1" t="s">
        <v>2593</v>
      </c>
      <c r="OT4" s="1" t="s">
        <v>2592</v>
      </c>
      <c r="OU4" s="1" t="s">
        <v>2591</v>
      </c>
      <c r="OV4" s="1" t="s">
        <v>2590</v>
      </c>
      <c r="OW4" s="1" t="s">
        <v>2589</v>
      </c>
      <c r="OX4" s="1" t="s">
        <v>2588</v>
      </c>
      <c r="OY4" s="1" t="s">
        <v>2587</v>
      </c>
      <c r="OZ4" s="1" t="s">
        <v>2586</v>
      </c>
      <c r="PA4" s="1" t="s">
        <v>2585</v>
      </c>
      <c r="PB4" s="1" t="s">
        <v>2584</v>
      </c>
      <c r="PC4" s="1" t="s">
        <v>2583</v>
      </c>
      <c r="PD4" s="1" t="s">
        <v>2582</v>
      </c>
      <c r="PE4" s="1" t="s">
        <v>2581</v>
      </c>
      <c r="PF4" s="1" t="s">
        <v>2580</v>
      </c>
      <c r="PG4" s="1" t="s">
        <v>2579</v>
      </c>
      <c r="PH4" s="1" t="s">
        <v>2578</v>
      </c>
      <c r="PI4" s="1" t="s">
        <v>2577</v>
      </c>
      <c r="PJ4" s="1" t="s">
        <v>2576</v>
      </c>
      <c r="PK4" s="1" t="s">
        <v>2575</v>
      </c>
      <c r="PL4" s="1" t="s">
        <v>2574</v>
      </c>
      <c r="PM4" s="1" t="s">
        <v>2573</v>
      </c>
      <c r="PN4" s="1" t="s">
        <v>2572</v>
      </c>
      <c r="PO4" s="1" t="s">
        <v>2571</v>
      </c>
      <c r="PP4" s="1" t="s">
        <v>2570</v>
      </c>
      <c r="PQ4" s="1" t="s">
        <v>2569</v>
      </c>
      <c r="PR4" s="1" t="s">
        <v>2568</v>
      </c>
      <c r="PS4" s="1" t="s">
        <v>2567</v>
      </c>
      <c r="PT4" s="1" t="s">
        <v>2566</v>
      </c>
      <c r="PU4" s="1" t="s">
        <v>2565</v>
      </c>
      <c r="PV4" s="1" t="s">
        <v>2564</v>
      </c>
      <c r="PW4" s="1" t="s">
        <v>2563</v>
      </c>
      <c r="PX4" s="1" t="s">
        <v>2562</v>
      </c>
      <c r="PY4" s="1" t="s">
        <v>2561</v>
      </c>
      <c r="PZ4" s="1" t="s">
        <v>2560</v>
      </c>
      <c r="QA4" s="1" t="s">
        <v>2559</v>
      </c>
      <c r="QB4" s="1" t="s">
        <v>2558</v>
      </c>
      <c r="QC4" s="1" t="s">
        <v>2557</v>
      </c>
      <c r="QD4" s="1" t="s">
        <v>2556</v>
      </c>
      <c r="QE4" s="1" t="s">
        <v>2555</v>
      </c>
      <c r="QF4" s="1" t="s">
        <v>2554</v>
      </c>
      <c r="QG4" s="1" t="s">
        <v>2553</v>
      </c>
      <c r="QH4" s="1" t="s">
        <v>2552</v>
      </c>
      <c r="QI4" s="1" t="s">
        <v>2551</v>
      </c>
      <c r="QJ4" s="1" t="s">
        <v>2550</v>
      </c>
      <c r="QK4" s="1" t="s">
        <v>2549</v>
      </c>
      <c r="QL4" s="1" t="s">
        <v>2548</v>
      </c>
      <c r="QM4" s="1" t="s">
        <v>2547</v>
      </c>
      <c r="QN4" s="1" t="s">
        <v>2546</v>
      </c>
      <c r="QO4" s="1" t="s">
        <v>2545</v>
      </c>
      <c r="QP4" s="1" t="s">
        <v>2544</v>
      </c>
      <c r="QQ4" s="1" t="s">
        <v>2543</v>
      </c>
      <c r="QR4" s="1" t="s">
        <v>2542</v>
      </c>
      <c r="QS4" s="1" t="s">
        <v>2541</v>
      </c>
      <c r="QT4" s="1" t="s">
        <v>2540</v>
      </c>
      <c r="QU4" s="1" t="s">
        <v>2539</v>
      </c>
      <c r="QV4" s="1" t="s">
        <v>2538</v>
      </c>
      <c r="QW4" s="1" t="s">
        <v>2537</v>
      </c>
      <c r="QX4" s="1" t="s">
        <v>2536</v>
      </c>
      <c r="QY4" s="1" t="s">
        <v>2535</v>
      </c>
      <c r="QZ4" s="1" t="s">
        <v>2534</v>
      </c>
      <c r="RA4" s="1" t="s">
        <v>2533</v>
      </c>
      <c r="RB4" s="1" t="s">
        <v>2532</v>
      </c>
      <c r="RC4" s="1" t="s">
        <v>2531</v>
      </c>
      <c r="RD4" s="1" t="s">
        <v>2530</v>
      </c>
      <c r="RE4" s="1" t="s">
        <v>2529</v>
      </c>
      <c r="RF4" s="1" t="s">
        <v>2528</v>
      </c>
      <c r="RG4" s="1" t="s">
        <v>2527</v>
      </c>
      <c r="RH4" s="1" t="s">
        <v>2526</v>
      </c>
      <c r="RI4" s="1" t="s">
        <v>2525</v>
      </c>
      <c r="RJ4" s="1" t="s">
        <v>2524</v>
      </c>
      <c r="RK4" s="1" t="s">
        <v>2523</v>
      </c>
      <c r="RL4" s="1" t="s">
        <v>2522</v>
      </c>
      <c r="RM4" s="1" t="s">
        <v>2521</v>
      </c>
      <c r="RN4" s="1" t="s">
        <v>2520</v>
      </c>
      <c r="RO4" s="1" t="s">
        <v>2519</v>
      </c>
      <c r="RP4" s="1" t="s">
        <v>2518</v>
      </c>
      <c r="RQ4" s="1" t="s">
        <v>2517</v>
      </c>
      <c r="RR4" s="1" t="s">
        <v>2516</v>
      </c>
      <c r="RS4" s="1" t="s">
        <v>2515</v>
      </c>
      <c r="RT4" s="1" t="s">
        <v>2514</v>
      </c>
      <c r="RU4" s="1" t="s">
        <v>2513</v>
      </c>
      <c r="RV4" s="1" t="s">
        <v>2512</v>
      </c>
      <c r="RW4" s="1" t="s">
        <v>2511</v>
      </c>
      <c r="RX4" s="1" t="s">
        <v>2510</v>
      </c>
      <c r="RY4" s="1" t="s">
        <v>2509</v>
      </c>
      <c r="RZ4" s="1" t="s">
        <v>2508</v>
      </c>
      <c r="SA4" s="1" t="s">
        <v>2507</v>
      </c>
      <c r="SB4" s="1" t="s">
        <v>2506</v>
      </c>
      <c r="SC4" s="1" t="s">
        <v>2505</v>
      </c>
      <c r="SD4" s="1" t="s">
        <v>2504</v>
      </c>
      <c r="SE4" s="1" t="s">
        <v>2503</v>
      </c>
      <c r="SF4" s="1" t="s">
        <v>2502</v>
      </c>
      <c r="SG4" s="1" t="s">
        <v>2501</v>
      </c>
      <c r="SH4" s="1" t="s">
        <v>2500</v>
      </c>
      <c r="SI4" s="1" t="s">
        <v>2499</v>
      </c>
      <c r="SJ4" s="1" t="s">
        <v>2498</v>
      </c>
      <c r="SK4" s="1" t="s">
        <v>2497</v>
      </c>
      <c r="SL4" s="1" t="s">
        <v>2496</v>
      </c>
      <c r="SM4" s="1" t="s">
        <v>2495</v>
      </c>
      <c r="SN4" s="1" t="s">
        <v>2494</v>
      </c>
      <c r="SO4" s="1" t="s">
        <v>2493</v>
      </c>
      <c r="SP4" s="1" t="s">
        <v>2492</v>
      </c>
      <c r="SQ4" s="1" t="s">
        <v>2491</v>
      </c>
      <c r="SR4" s="1" t="s">
        <v>2490</v>
      </c>
      <c r="SS4" s="1" t="s">
        <v>2489</v>
      </c>
      <c r="ST4" s="1" t="s">
        <v>2488</v>
      </c>
      <c r="SU4" s="1" t="s">
        <v>2487</v>
      </c>
      <c r="SV4" s="1" t="s">
        <v>2486</v>
      </c>
      <c r="SW4" s="1" t="s">
        <v>2485</v>
      </c>
      <c r="SX4" s="1" t="s">
        <v>2484</v>
      </c>
      <c r="SY4" s="1" t="s">
        <v>2483</v>
      </c>
      <c r="SZ4" s="1" t="s">
        <v>2482</v>
      </c>
      <c r="TA4" s="1" t="s">
        <v>2481</v>
      </c>
      <c r="TB4" s="1" t="s">
        <v>2480</v>
      </c>
      <c r="TC4" s="1" t="s">
        <v>2479</v>
      </c>
      <c r="TD4" s="1" t="s">
        <v>2478</v>
      </c>
      <c r="TE4" s="1" t="s">
        <v>2477</v>
      </c>
      <c r="TF4" s="1" t="s">
        <v>2476</v>
      </c>
      <c r="TG4" s="1" t="s">
        <v>2475</v>
      </c>
      <c r="TH4" s="1" t="s">
        <v>2474</v>
      </c>
      <c r="TI4" s="1" t="s">
        <v>2473</v>
      </c>
      <c r="TJ4" s="1" t="s">
        <v>2472</v>
      </c>
      <c r="TK4" s="1" t="s">
        <v>2471</v>
      </c>
      <c r="TL4" s="1" t="s">
        <v>2470</v>
      </c>
      <c r="TM4" s="1" t="s">
        <v>2469</v>
      </c>
      <c r="TN4" s="1" t="s">
        <v>2468</v>
      </c>
      <c r="TO4" s="1" t="s">
        <v>2467</v>
      </c>
      <c r="TP4" s="1" t="s">
        <v>2466</v>
      </c>
      <c r="TQ4" s="1" t="s">
        <v>2465</v>
      </c>
      <c r="TR4" s="1" t="s">
        <v>2464</v>
      </c>
      <c r="TS4" s="1" t="s">
        <v>2463</v>
      </c>
      <c r="TT4" s="1" t="s">
        <v>2462</v>
      </c>
      <c r="TU4" s="1" t="s">
        <v>2461</v>
      </c>
      <c r="TV4" s="1" t="s">
        <v>2460</v>
      </c>
      <c r="TW4" s="1" t="s">
        <v>2459</v>
      </c>
      <c r="TX4" s="1" t="s">
        <v>2458</v>
      </c>
      <c r="TY4" s="1" t="s">
        <v>2457</v>
      </c>
      <c r="TZ4" s="1" t="s">
        <v>2456</v>
      </c>
      <c r="UA4" s="1" t="s">
        <v>2455</v>
      </c>
      <c r="UB4" s="1" t="s">
        <v>2454</v>
      </c>
      <c r="UC4" s="1" t="s">
        <v>2453</v>
      </c>
      <c r="UD4" s="1" t="s">
        <v>2452</v>
      </c>
      <c r="UE4" s="1" t="s">
        <v>2451</v>
      </c>
      <c r="UF4" s="1" t="s">
        <v>2450</v>
      </c>
      <c r="UG4" s="1" t="s">
        <v>2449</v>
      </c>
      <c r="UH4" s="1" t="s">
        <v>2448</v>
      </c>
      <c r="UI4" s="1" t="s">
        <v>2447</v>
      </c>
      <c r="UJ4" s="1" t="s">
        <v>2446</v>
      </c>
      <c r="UK4" s="1" t="s">
        <v>2445</v>
      </c>
      <c r="UL4" s="1" t="s">
        <v>2444</v>
      </c>
      <c r="UM4" s="1" t="s">
        <v>2443</v>
      </c>
      <c r="UN4" s="1" t="s">
        <v>2442</v>
      </c>
      <c r="UO4" s="1" t="s">
        <v>2441</v>
      </c>
      <c r="UP4" s="1" t="s">
        <v>2440</v>
      </c>
      <c r="UQ4" s="1" t="s">
        <v>2439</v>
      </c>
      <c r="UR4" s="1" t="s">
        <v>2438</v>
      </c>
      <c r="US4" s="1" t="s">
        <v>2437</v>
      </c>
      <c r="UT4" s="1" t="s">
        <v>2436</v>
      </c>
      <c r="UU4" s="1" t="s">
        <v>2435</v>
      </c>
      <c r="UV4" s="1" t="s">
        <v>2434</v>
      </c>
      <c r="UW4" s="1" t="s">
        <v>2433</v>
      </c>
      <c r="UX4" s="1" t="s">
        <v>2432</v>
      </c>
      <c r="UY4" s="1" t="s">
        <v>2431</v>
      </c>
      <c r="UZ4" s="1" t="s">
        <v>2430</v>
      </c>
      <c r="VA4" s="1" t="s">
        <v>2429</v>
      </c>
      <c r="VB4" s="1" t="s">
        <v>2428</v>
      </c>
      <c r="VC4" s="1" t="s">
        <v>2427</v>
      </c>
      <c r="VD4" s="1" t="s">
        <v>2426</v>
      </c>
      <c r="VE4" s="1" t="s">
        <v>2425</v>
      </c>
      <c r="VF4" s="1" t="s">
        <v>2424</v>
      </c>
      <c r="VG4" s="1" t="s">
        <v>2423</v>
      </c>
      <c r="VH4" s="1" t="s">
        <v>2422</v>
      </c>
      <c r="VI4" s="1" t="s">
        <v>2421</v>
      </c>
      <c r="VJ4" s="1" t="s">
        <v>2420</v>
      </c>
      <c r="VK4" s="1" t="s">
        <v>2419</v>
      </c>
      <c r="VL4" s="1" t="s">
        <v>2418</v>
      </c>
      <c r="VM4" s="1" t="s">
        <v>2417</v>
      </c>
      <c r="VN4" s="1" t="s">
        <v>2416</v>
      </c>
      <c r="VO4" s="1" t="s">
        <v>2415</v>
      </c>
      <c r="VP4" s="1" t="s">
        <v>2414</v>
      </c>
      <c r="VQ4" s="1" t="s">
        <v>2413</v>
      </c>
      <c r="VR4" s="1" t="s">
        <v>2412</v>
      </c>
      <c r="VS4" s="1" t="s">
        <v>2411</v>
      </c>
      <c r="VT4" s="1" t="s">
        <v>2410</v>
      </c>
      <c r="VU4" s="1" t="s">
        <v>2409</v>
      </c>
      <c r="VV4" s="1" t="s">
        <v>2408</v>
      </c>
      <c r="VW4" s="1" t="s">
        <v>2407</v>
      </c>
      <c r="VX4" s="1" t="s">
        <v>2406</v>
      </c>
      <c r="VY4" s="1" t="s">
        <v>2405</v>
      </c>
      <c r="VZ4" s="1" t="s">
        <v>2404</v>
      </c>
      <c r="WA4" s="1" t="s">
        <v>2403</v>
      </c>
      <c r="WB4" s="1" t="s">
        <v>2402</v>
      </c>
      <c r="WC4" s="1" t="s">
        <v>2401</v>
      </c>
      <c r="WD4" s="1" t="s">
        <v>2400</v>
      </c>
      <c r="WE4" s="1" t="s">
        <v>2399</v>
      </c>
      <c r="WF4" s="1" t="s">
        <v>2398</v>
      </c>
      <c r="WG4" s="1" t="s">
        <v>2397</v>
      </c>
      <c r="WH4" s="1" t="s">
        <v>2396</v>
      </c>
      <c r="WI4" s="1" t="s">
        <v>2395</v>
      </c>
      <c r="WJ4" s="1" t="s">
        <v>2394</v>
      </c>
      <c r="WK4" s="1" t="s">
        <v>2393</v>
      </c>
      <c r="WL4" s="1" t="s">
        <v>2392</v>
      </c>
      <c r="WM4" s="1" t="s">
        <v>2391</v>
      </c>
      <c r="WN4" s="1" t="s">
        <v>2390</v>
      </c>
      <c r="WO4" s="1" t="s">
        <v>2389</v>
      </c>
      <c r="WP4" s="1" t="s">
        <v>2388</v>
      </c>
      <c r="WQ4" s="1" t="s">
        <v>2387</v>
      </c>
      <c r="WR4" s="1" t="s">
        <v>2386</v>
      </c>
      <c r="WS4" s="1" t="s">
        <v>2385</v>
      </c>
      <c r="WT4" s="1" t="s">
        <v>2384</v>
      </c>
      <c r="WU4" s="1" t="s">
        <v>2383</v>
      </c>
      <c r="WV4" s="1" t="s">
        <v>2382</v>
      </c>
      <c r="WW4" s="1" t="s">
        <v>2381</v>
      </c>
      <c r="WX4" s="1" t="s">
        <v>2380</v>
      </c>
      <c r="WY4" s="1" t="s">
        <v>2379</v>
      </c>
      <c r="WZ4" s="1" t="s">
        <v>2378</v>
      </c>
      <c r="XA4" s="1" t="s">
        <v>2377</v>
      </c>
      <c r="XB4" s="1" t="s">
        <v>2376</v>
      </c>
      <c r="XC4" s="1" t="s">
        <v>2375</v>
      </c>
      <c r="XD4" s="1" t="s">
        <v>2374</v>
      </c>
      <c r="XE4" s="1" t="s">
        <v>2373</v>
      </c>
      <c r="XF4" s="1" t="s">
        <v>2372</v>
      </c>
      <c r="XG4" s="1" t="s">
        <v>2371</v>
      </c>
      <c r="XH4" s="1" t="s">
        <v>2370</v>
      </c>
      <c r="XI4" s="1" t="s">
        <v>2369</v>
      </c>
      <c r="XJ4" s="1" t="s">
        <v>2368</v>
      </c>
      <c r="XK4" s="1" t="s">
        <v>2367</v>
      </c>
      <c r="XL4" s="1" t="s">
        <v>2366</v>
      </c>
      <c r="XM4" s="1" t="s">
        <v>2365</v>
      </c>
      <c r="XN4" s="1" t="s">
        <v>2364</v>
      </c>
      <c r="XO4" s="1" t="s">
        <v>2363</v>
      </c>
      <c r="XP4" s="1" t="s">
        <v>2362</v>
      </c>
      <c r="XQ4" s="1" t="s">
        <v>2361</v>
      </c>
      <c r="XR4" s="1" t="s">
        <v>2360</v>
      </c>
      <c r="XS4" s="1" t="s">
        <v>2359</v>
      </c>
      <c r="XT4" s="1" t="s">
        <v>2358</v>
      </c>
      <c r="XU4" s="1" t="s">
        <v>2357</v>
      </c>
      <c r="XV4" s="1" t="s">
        <v>2356</v>
      </c>
      <c r="XW4" s="1" t="s">
        <v>2355</v>
      </c>
      <c r="XX4" s="1" t="s">
        <v>2354</v>
      </c>
      <c r="XY4" s="1" t="s">
        <v>2353</v>
      </c>
      <c r="XZ4" s="1" t="s">
        <v>2352</v>
      </c>
      <c r="YA4" s="1" t="s">
        <v>2351</v>
      </c>
      <c r="YB4" s="1" t="s">
        <v>2350</v>
      </c>
      <c r="YC4" s="1" t="s">
        <v>2349</v>
      </c>
      <c r="YD4" s="1" t="s">
        <v>2348</v>
      </c>
      <c r="YE4" s="1" t="s">
        <v>2347</v>
      </c>
      <c r="YF4" s="1" t="s">
        <v>2346</v>
      </c>
      <c r="YG4" s="1" t="s">
        <v>2345</v>
      </c>
      <c r="YH4" s="1" t="s">
        <v>2344</v>
      </c>
      <c r="YI4" s="1" t="s">
        <v>2343</v>
      </c>
      <c r="YJ4" s="1" t="s">
        <v>2342</v>
      </c>
      <c r="YK4" s="1" t="s">
        <v>2341</v>
      </c>
      <c r="YL4" s="1" t="s">
        <v>2340</v>
      </c>
      <c r="YM4" s="1" t="s">
        <v>2339</v>
      </c>
      <c r="YN4" s="1" t="s">
        <v>2338</v>
      </c>
      <c r="YO4" s="1" t="s">
        <v>2337</v>
      </c>
      <c r="YP4" s="1" t="s">
        <v>2336</v>
      </c>
      <c r="YQ4" s="1" t="s">
        <v>2335</v>
      </c>
      <c r="YR4" s="1" t="s">
        <v>2334</v>
      </c>
      <c r="YS4" s="1" t="s">
        <v>2333</v>
      </c>
      <c r="YT4" s="1" t="s">
        <v>2332</v>
      </c>
      <c r="YU4" s="1" t="s">
        <v>2331</v>
      </c>
      <c r="YV4" s="1" t="s">
        <v>2330</v>
      </c>
      <c r="YW4" s="1" t="s">
        <v>2329</v>
      </c>
      <c r="YX4" s="1" t="s">
        <v>2328</v>
      </c>
      <c r="YY4" s="1" t="s">
        <v>2327</v>
      </c>
      <c r="YZ4" s="1" t="s">
        <v>2326</v>
      </c>
      <c r="ZA4" s="1" t="s">
        <v>2325</v>
      </c>
      <c r="ZB4" s="1" t="s">
        <v>2324</v>
      </c>
      <c r="ZC4" s="1" t="s">
        <v>2323</v>
      </c>
      <c r="ZD4" s="1" t="s">
        <v>2322</v>
      </c>
      <c r="ZE4" s="1" t="s">
        <v>2321</v>
      </c>
      <c r="ZF4" s="1" t="s">
        <v>2320</v>
      </c>
      <c r="ZG4" s="1" t="s">
        <v>2319</v>
      </c>
      <c r="ZH4" s="1" t="s">
        <v>2318</v>
      </c>
      <c r="ZI4" s="1" t="s">
        <v>2317</v>
      </c>
      <c r="ZJ4" s="1" t="s">
        <v>2316</v>
      </c>
      <c r="ZK4" s="1" t="s">
        <v>2315</v>
      </c>
      <c r="ZL4" s="1" t="s">
        <v>2314</v>
      </c>
      <c r="ZM4" s="1" t="s">
        <v>2313</v>
      </c>
      <c r="ZN4" s="1" t="s">
        <v>2312</v>
      </c>
      <c r="ZO4" s="1" t="s">
        <v>2311</v>
      </c>
      <c r="ZP4" s="1" t="s">
        <v>2310</v>
      </c>
      <c r="ZQ4" s="1" t="s">
        <v>2309</v>
      </c>
      <c r="ZR4" s="1" t="s">
        <v>2308</v>
      </c>
      <c r="ZS4" s="1" t="s">
        <v>2307</v>
      </c>
      <c r="ZT4" s="1" t="s">
        <v>2306</v>
      </c>
      <c r="ZU4" s="1" t="s">
        <v>2305</v>
      </c>
      <c r="ZV4" s="1" t="s">
        <v>2304</v>
      </c>
      <c r="ZW4" s="1" t="s">
        <v>2303</v>
      </c>
      <c r="ZX4" s="1" t="s">
        <v>2302</v>
      </c>
      <c r="ZY4" s="1" t="s">
        <v>2301</v>
      </c>
      <c r="ZZ4" s="1" t="s">
        <v>2300</v>
      </c>
      <c r="AAA4" s="1" t="s">
        <v>2299</v>
      </c>
      <c r="AAB4" s="1" t="s">
        <v>2298</v>
      </c>
      <c r="AAC4" s="1" t="s">
        <v>2297</v>
      </c>
      <c r="AAD4" s="1" t="s">
        <v>2296</v>
      </c>
      <c r="AAE4" s="1" t="s">
        <v>2295</v>
      </c>
      <c r="AAF4" s="1" t="s">
        <v>2294</v>
      </c>
      <c r="AAG4" s="1" t="s">
        <v>2293</v>
      </c>
      <c r="AAH4" s="1" t="s">
        <v>2292</v>
      </c>
      <c r="AAI4" s="1" t="s">
        <v>2291</v>
      </c>
      <c r="AAJ4" s="1" t="s">
        <v>2290</v>
      </c>
      <c r="AAK4" s="1" t="s">
        <v>2289</v>
      </c>
      <c r="AAL4" s="1" t="s">
        <v>2288</v>
      </c>
      <c r="AAM4" s="1" t="s">
        <v>2287</v>
      </c>
      <c r="AAN4" s="1" t="s">
        <v>2286</v>
      </c>
      <c r="AAO4" s="1" t="s">
        <v>2285</v>
      </c>
      <c r="AAP4" s="1" t="s">
        <v>2284</v>
      </c>
      <c r="AAQ4" s="1" t="s">
        <v>2283</v>
      </c>
      <c r="AAR4" s="1" t="s">
        <v>2282</v>
      </c>
      <c r="AAS4" s="1" t="s">
        <v>2281</v>
      </c>
      <c r="AAT4" s="1" t="s">
        <v>2280</v>
      </c>
      <c r="AAU4" s="1" t="s">
        <v>2279</v>
      </c>
      <c r="AAV4" s="1" t="s">
        <v>2278</v>
      </c>
      <c r="AAW4" s="1" t="s">
        <v>2277</v>
      </c>
      <c r="AAX4" s="1" t="s">
        <v>2276</v>
      </c>
      <c r="AAY4" s="1" t="s">
        <v>2275</v>
      </c>
      <c r="AAZ4" s="1" t="s">
        <v>2274</v>
      </c>
      <c r="ABA4" s="1" t="s">
        <v>2273</v>
      </c>
      <c r="ABB4" s="1" t="s">
        <v>2272</v>
      </c>
      <c r="ABC4" s="1" t="s">
        <v>2271</v>
      </c>
      <c r="ABD4" s="1" t="s">
        <v>2270</v>
      </c>
      <c r="ABE4" s="1" t="s">
        <v>2269</v>
      </c>
      <c r="ABF4" s="1" t="s">
        <v>2268</v>
      </c>
      <c r="ABG4" s="1" t="s">
        <v>2267</v>
      </c>
      <c r="ABH4" s="1" t="s">
        <v>2266</v>
      </c>
      <c r="ABI4" s="1" t="s">
        <v>2265</v>
      </c>
      <c r="ABJ4" s="1" t="s">
        <v>2264</v>
      </c>
      <c r="ABK4" s="1" t="s">
        <v>2263</v>
      </c>
      <c r="ABL4" s="1" t="s">
        <v>2262</v>
      </c>
      <c r="ABM4" s="1" t="s">
        <v>2261</v>
      </c>
      <c r="ABN4" s="1" t="s">
        <v>2260</v>
      </c>
      <c r="ABO4" s="1" t="s">
        <v>2259</v>
      </c>
      <c r="ABP4" s="1" t="s">
        <v>2258</v>
      </c>
      <c r="ABQ4" s="1" t="s">
        <v>2257</v>
      </c>
      <c r="ABR4" s="1" t="s">
        <v>2256</v>
      </c>
      <c r="ABS4" s="1" t="s">
        <v>2255</v>
      </c>
      <c r="ABT4" s="1" t="s">
        <v>2254</v>
      </c>
      <c r="ABU4" s="1" t="s">
        <v>2253</v>
      </c>
      <c r="ABV4" s="1" t="s">
        <v>2252</v>
      </c>
      <c r="ABW4" s="1" t="s">
        <v>2251</v>
      </c>
      <c r="ABX4" s="1" t="s">
        <v>2250</v>
      </c>
      <c r="ABY4" s="1" t="s">
        <v>2249</v>
      </c>
      <c r="ABZ4" s="1" t="s">
        <v>2248</v>
      </c>
      <c r="ACA4" s="1" t="s">
        <v>2247</v>
      </c>
      <c r="ACB4" s="1" t="s">
        <v>2246</v>
      </c>
      <c r="ACC4" s="1" t="s">
        <v>2245</v>
      </c>
    </row>
    <row r="5" spans="1:757" s="60" customFormat="1">
      <c r="A5" s="60" t="s">
        <v>954</v>
      </c>
      <c r="B5" s="60" t="s">
        <v>953</v>
      </c>
      <c r="C5" s="60" t="s">
        <v>952</v>
      </c>
      <c r="D5" s="60" t="s">
        <v>951</v>
      </c>
      <c r="E5" s="60" t="s">
        <v>950</v>
      </c>
      <c r="F5" s="60" t="s">
        <v>949</v>
      </c>
      <c r="G5" s="60" t="s">
        <v>948</v>
      </c>
      <c r="H5" s="11" t="s">
        <v>947</v>
      </c>
      <c r="I5" s="11" t="s">
        <v>946</v>
      </c>
      <c r="J5" s="11" t="s">
        <v>945</v>
      </c>
      <c r="K5" s="11" t="s">
        <v>944</v>
      </c>
      <c r="L5" s="11" t="s">
        <v>943</v>
      </c>
      <c r="M5" s="11" t="s">
        <v>942</v>
      </c>
      <c r="N5" s="11" t="s">
        <v>941</v>
      </c>
      <c r="O5" s="11" t="s">
        <v>940</v>
      </c>
      <c r="P5" s="11" t="s">
        <v>939</v>
      </c>
      <c r="Q5" s="11" t="s">
        <v>938</v>
      </c>
      <c r="R5" s="11" t="s">
        <v>937</v>
      </c>
      <c r="S5" s="11" t="s">
        <v>936</v>
      </c>
      <c r="T5" s="11" t="s">
        <v>935</v>
      </c>
      <c r="U5" s="11" t="s">
        <v>934</v>
      </c>
      <c r="V5" s="11" t="s">
        <v>933</v>
      </c>
      <c r="W5" s="11" t="s">
        <v>932</v>
      </c>
      <c r="X5" s="11" t="s">
        <v>931</v>
      </c>
      <c r="Y5" s="11" t="s">
        <v>930</v>
      </c>
      <c r="Z5" s="11" t="s">
        <v>929</v>
      </c>
      <c r="AA5" s="11" t="s">
        <v>928</v>
      </c>
      <c r="AB5" s="11" t="s">
        <v>927</v>
      </c>
      <c r="AC5" s="11" t="s">
        <v>926</v>
      </c>
      <c r="AD5" s="11" t="s">
        <v>925</v>
      </c>
      <c r="AE5" s="11" t="s">
        <v>924</v>
      </c>
      <c r="AF5" s="11" t="s">
        <v>923</v>
      </c>
      <c r="AG5" s="11" t="s">
        <v>922</v>
      </c>
      <c r="AH5" s="11" t="s">
        <v>921</v>
      </c>
      <c r="AI5" s="11" t="s">
        <v>920</v>
      </c>
      <c r="AJ5" s="11" t="s">
        <v>919</v>
      </c>
      <c r="AK5" s="11" t="s">
        <v>918</v>
      </c>
      <c r="AL5" s="11" t="s">
        <v>917</v>
      </c>
      <c r="AM5" s="11" t="s">
        <v>916</v>
      </c>
      <c r="AN5" s="11" t="s">
        <v>915</v>
      </c>
      <c r="AO5" s="11" t="s">
        <v>914</v>
      </c>
      <c r="AP5" s="11" t="s">
        <v>913</v>
      </c>
      <c r="AQ5" s="11" t="s">
        <v>912</v>
      </c>
      <c r="AR5" s="11" t="s">
        <v>911</v>
      </c>
      <c r="AS5" s="11" t="s">
        <v>910</v>
      </c>
      <c r="AT5" s="11" t="s">
        <v>909</v>
      </c>
      <c r="AU5" s="11" t="s">
        <v>908</v>
      </c>
      <c r="AV5" s="11" t="s">
        <v>907</v>
      </c>
      <c r="AW5" s="11" t="s">
        <v>906</v>
      </c>
      <c r="AX5" s="11" t="s">
        <v>905</v>
      </c>
      <c r="AY5" s="11" t="s">
        <v>904</v>
      </c>
      <c r="AZ5" s="11" t="s">
        <v>903</v>
      </c>
      <c r="BA5" s="11" t="s">
        <v>902</v>
      </c>
      <c r="BB5" s="11" t="s">
        <v>901</v>
      </c>
      <c r="BC5" s="11" t="s">
        <v>900</v>
      </c>
      <c r="BD5" s="11" t="s">
        <v>899</v>
      </c>
      <c r="BE5" s="11" t="s">
        <v>898</v>
      </c>
      <c r="BF5" s="11" t="s">
        <v>897</v>
      </c>
      <c r="BG5" s="11" t="s">
        <v>896</v>
      </c>
      <c r="BH5" s="11" t="s">
        <v>895</v>
      </c>
      <c r="BI5" s="11" t="s">
        <v>894</v>
      </c>
      <c r="BJ5" s="11" t="s">
        <v>893</v>
      </c>
      <c r="BK5" s="11" t="s">
        <v>892</v>
      </c>
      <c r="BL5" s="11" t="s">
        <v>891</v>
      </c>
      <c r="BM5" s="11" t="s">
        <v>890</v>
      </c>
      <c r="BN5" s="11" t="s">
        <v>889</v>
      </c>
      <c r="BO5" s="11" t="s">
        <v>888</v>
      </c>
      <c r="BP5" s="11" t="s">
        <v>887</v>
      </c>
      <c r="BQ5" s="11" t="s">
        <v>886</v>
      </c>
      <c r="BR5" s="11" t="s">
        <v>885</v>
      </c>
      <c r="BS5" s="11" t="s">
        <v>884</v>
      </c>
      <c r="BT5" s="11" t="s">
        <v>883</v>
      </c>
      <c r="BU5" s="11" t="s">
        <v>882</v>
      </c>
      <c r="BV5" s="11" t="s">
        <v>881</v>
      </c>
      <c r="BW5" s="11" t="s">
        <v>880</v>
      </c>
      <c r="BX5" s="11" t="s">
        <v>879</v>
      </c>
      <c r="BY5" s="11" t="s">
        <v>878</v>
      </c>
      <c r="BZ5" s="11" t="s">
        <v>877</v>
      </c>
      <c r="CA5" s="11" t="s">
        <v>876</v>
      </c>
      <c r="CB5" s="11" t="s">
        <v>875</v>
      </c>
      <c r="CC5" s="11" t="s">
        <v>874</v>
      </c>
      <c r="CD5" s="11" t="s">
        <v>873</v>
      </c>
      <c r="CE5" s="11" t="s">
        <v>872</v>
      </c>
      <c r="CF5" s="11" t="s">
        <v>871</v>
      </c>
      <c r="CG5" s="11" t="s">
        <v>870</v>
      </c>
      <c r="CH5" s="11" t="s">
        <v>869</v>
      </c>
      <c r="CI5" s="11" t="s">
        <v>868</v>
      </c>
      <c r="CJ5" s="11" t="s">
        <v>867</v>
      </c>
      <c r="CK5" s="11" t="s">
        <v>866</v>
      </c>
      <c r="CL5" s="11" t="s">
        <v>865</v>
      </c>
      <c r="CM5" s="11" t="s">
        <v>864</v>
      </c>
      <c r="CN5" s="11" t="s">
        <v>863</v>
      </c>
      <c r="CO5" s="11" t="s">
        <v>862</v>
      </c>
      <c r="CP5" s="11" t="s">
        <v>861</v>
      </c>
      <c r="CQ5" s="11" t="s">
        <v>860</v>
      </c>
      <c r="CR5" s="11" t="s">
        <v>859</v>
      </c>
      <c r="CS5" s="11" t="s">
        <v>858</v>
      </c>
      <c r="CT5" s="11" t="s">
        <v>857</v>
      </c>
      <c r="CU5" s="11" t="s">
        <v>856</v>
      </c>
      <c r="CV5" s="11" t="s">
        <v>855</v>
      </c>
      <c r="CW5" s="11" t="s">
        <v>854</v>
      </c>
      <c r="CX5" s="11" t="s">
        <v>853</v>
      </c>
      <c r="CY5" s="11" t="s">
        <v>852</v>
      </c>
      <c r="CZ5" s="11" t="s">
        <v>851</v>
      </c>
      <c r="DA5" s="11" t="s">
        <v>850</v>
      </c>
      <c r="DB5" s="11" t="s">
        <v>849</v>
      </c>
      <c r="DC5" s="11" t="s">
        <v>848</v>
      </c>
      <c r="DD5" s="11" t="s">
        <v>847</v>
      </c>
      <c r="DE5" s="11" t="s">
        <v>846</v>
      </c>
      <c r="DF5" s="11" t="s">
        <v>845</v>
      </c>
      <c r="DG5" s="11" t="s">
        <v>844</v>
      </c>
      <c r="DH5" s="11" t="s">
        <v>843</v>
      </c>
      <c r="DI5" s="11" t="s">
        <v>842</v>
      </c>
      <c r="DJ5" s="11" t="s">
        <v>841</v>
      </c>
      <c r="DK5" s="11" t="s">
        <v>840</v>
      </c>
      <c r="DL5" s="11" t="s">
        <v>839</v>
      </c>
      <c r="DM5" s="11" t="s">
        <v>838</v>
      </c>
      <c r="DN5" s="11" t="s">
        <v>837</v>
      </c>
      <c r="DO5" s="11" t="s">
        <v>836</v>
      </c>
      <c r="DP5" s="11" t="s">
        <v>835</v>
      </c>
      <c r="DQ5" s="11" t="s">
        <v>834</v>
      </c>
      <c r="DR5" s="11" t="s">
        <v>833</v>
      </c>
      <c r="DS5" s="11" t="s">
        <v>832</v>
      </c>
      <c r="DT5" s="11" t="s">
        <v>831</v>
      </c>
      <c r="DU5" s="11" t="s">
        <v>830</v>
      </c>
      <c r="DV5" s="11" t="s">
        <v>829</v>
      </c>
      <c r="DW5" s="11" t="s">
        <v>828</v>
      </c>
      <c r="DX5" s="11" t="s">
        <v>827</v>
      </c>
      <c r="DY5" s="11" t="s">
        <v>826</v>
      </c>
      <c r="DZ5" s="11" t="s">
        <v>825</v>
      </c>
      <c r="EA5" s="11" t="s">
        <v>824</v>
      </c>
      <c r="EB5" s="11" t="s">
        <v>823</v>
      </c>
      <c r="EC5" s="11" t="s">
        <v>822</v>
      </c>
      <c r="ED5" s="11" t="s">
        <v>821</v>
      </c>
      <c r="EE5" s="11" t="s">
        <v>820</v>
      </c>
      <c r="EF5" s="11" t="s">
        <v>819</v>
      </c>
      <c r="EG5" s="11" t="s">
        <v>818</v>
      </c>
      <c r="EH5" s="11" t="s">
        <v>817</v>
      </c>
      <c r="EI5" s="11" t="s">
        <v>816</v>
      </c>
      <c r="EJ5" s="11" t="s">
        <v>815</v>
      </c>
      <c r="EK5" s="11" t="s">
        <v>814</v>
      </c>
      <c r="EL5" s="11" t="s">
        <v>813</v>
      </c>
      <c r="EM5" s="11" t="s">
        <v>812</v>
      </c>
      <c r="EN5" s="11" t="s">
        <v>811</v>
      </c>
      <c r="EO5" s="11" t="s">
        <v>810</v>
      </c>
      <c r="EP5" s="11" t="s">
        <v>809</v>
      </c>
      <c r="EQ5" s="11" t="s">
        <v>808</v>
      </c>
      <c r="ER5" s="11" t="s">
        <v>807</v>
      </c>
      <c r="ES5" s="11" t="s">
        <v>806</v>
      </c>
      <c r="ET5" s="11" t="s">
        <v>805</v>
      </c>
      <c r="EU5" s="11" t="s">
        <v>804</v>
      </c>
      <c r="EV5" s="11" t="s">
        <v>803</v>
      </c>
      <c r="EW5" s="11" t="s">
        <v>1298</v>
      </c>
      <c r="EX5" s="11" t="s">
        <v>1297</v>
      </c>
      <c r="EY5" s="11" t="s">
        <v>1296</v>
      </c>
      <c r="EZ5" s="11" t="s">
        <v>1295</v>
      </c>
      <c r="FA5" s="11" t="s">
        <v>1294</v>
      </c>
      <c r="FB5" s="11" t="s">
        <v>1293</v>
      </c>
      <c r="FC5" s="11" t="s">
        <v>1292</v>
      </c>
      <c r="FD5" s="11" t="s">
        <v>1291</v>
      </c>
      <c r="FE5" s="11" t="s">
        <v>1290</v>
      </c>
      <c r="FF5" s="11" t="s">
        <v>1289</v>
      </c>
      <c r="FG5" s="11" t="s">
        <v>1288</v>
      </c>
      <c r="FH5" s="11" t="s">
        <v>1287</v>
      </c>
      <c r="FI5" s="11" t="s">
        <v>1286</v>
      </c>
      <c r="FJ5" s="11" t="s">
        <v>1285</v>
      </c>
      <c r="FK5" s="11" t="s">
        <v>1284</v>
      </c>
      <c r="FL5" s="11" t="s">
        <v>1283</v>
      </c>
      <c r="FM5" s="11" t="s">
        <v>1282</v>
      </c>
      <c r="FN5" s="11" t="s">
        <v>1281</v>
      </c>
      <c r="FO5" s="11" t="s">
        <v>1280</v>
      </c>
      <c r="FP5" s="11" t="s">
        <v>1279</v>
      </c>
      <c r="FQ5" s="11" t="s">
        <v>1278</v>
      </c>
      <c r="FR5" s="11" t="s">
        <v>1277</v>
      </c>
      <c r="FS5" s="11" t="s">
        <v>1276</v>
      </c>
      <c r="FT5" s="11" t="s">
        <v>1275</v>
      </c>
      <c r="FU5" s="11" t="s">
        <v>1274</v>
      </c>
      <c r="FV5" s="11" t="s">
        <v>1273</v>
      </c>
      <c r="FW5" s="11" t="s">
        <v>1272</v>
      </c>
      <c r="FX5" s="11" t="s">
        <v>1271</v>
      </c>
      <c r="FY5" s="11" t="s">
        <v>1270</v>
      </c>
      <c r="FZ5" s="11" t="s">
        <v>1269</v>
      </c>
      <c r="GA5" s="11" t="s">
        <v>1268</v>
      </c>
      <c r="GB5" s="11" t="s">
        <v>1267</v>
      </c>
      <c r="GC5" s="11" t="s">
        <v>1266</v>
      </c>
      <c r="GD5" s="11" t="s">
        <v>1265</v>
      </c>
      <c r="GE5" s="11" t="s">
        <v>1264</v>
      </c>
      <c r="GF5" s="11" t="s">
        <v>1263</v>
      </c>
      <c r="GG5" s="11" t="s">
        <v>1262</v>
      </c>
      <c r="GH5" s="11" t="s">
        <v>1261</v>
      </c>
      <c r="GI5" s="11" t="s">
        <v>1260</v>
      </c>
      <c r="GJ5" s="11" t="s">
        <v>1259</v>
      </c>
      <c r="GK5" s="11" t="s">
        <v>1258</v>
      </c>
      <c r="GL5" s="11" t="s">
        <v>1257</v>
      </c>
      <c r="GM5" s="11" t="s">
        <v>1256</v>
      </c>
      <c r="GN5" s="11" t="s">
        <v>1255</v>
      </c>
      <c r="GO5" s="11" t="s">
        <v>1254</v>
      </c>
      <c r="GP5" s="11" t="s">
        <v>1253</v>
      </c>
      <c r="GQ5" s="11" t="s">
        <v>1252</v>
      </c>
      <c r="GR5" s="11" t="s">
        <v>1251</v>
      </c>
      <c r="GS5" s="11" t="s">
        <v>1250</v>
      </c>
      <c r="GT5" s="11" t="s">
        <v>1249</v>
      </c>
      <c r="GU5" s="11" t="s">
        <v>1248</v>
      </c>
      <c r="GV5" s="11" t="s">
        <v>1247</v>
      </c>
      <c r="GW5" s="11" t="s">
        <v>1246</v>
      </c>
      <c r="GX5" s="11" t="s">
        <v>1245</v>
      </c>
      <c r="GY5" s="11" t="s">
        <v>1244</v>
      </c>
      <c r="GZ5" s="11" t="s">
        <v>1243</v>
      </c>
      <c r="HA5" s="11" t="s">
        <v>1242</v>
      </c>
      <c r="HB5" s="11" t="s">
        <v>1241</v>
      </c>
      <c r="HC5" s="11" t="s">
        <v>1240</v>
      </c>
      <c r="HD5" s="11" t="s">
        <v>1239</v>
      </c>
      <c r="HE5" s="11" t="s">
        <v>1238</v>
      </c>
      <c r="HF5" s="11" t="s">
        <v>1237</v>
      </c>
      <c r="HG5" s="11" t="s">
        <v>1236</v>
      </c>
      <c r="HH5" s="11" t="s">
        <v>1235</v>
      </c>
      <c r="HI5" s="11" t="s">
        <v>1234</v>
      </c>
      <c r="HJ5" s="11" t="s">
        <v>1233</v>
      </c>
      <c r="HK5" s="11" t="s">
        <v>1232</v>
      </c>
      <c r="HL5" s="11" t="s">
        <v>1231</v>
      </c>
      <c r="HM5" s="11" t="s">
        <v>1230</v>
      </c>
      <c r="HN5" s="11" t="s">
        <v>1229</v>
      </c>
      <c r="HO5" s="11" t="s">
        <v>1228</v>
      </c>
      <c r="HP5" s="11" t="s">
        <v>1227</v>
      </c>
      <c r="HQ5" s="11" t="s">
        <v>1226</v>
      </c>
      <c r="HR5" s="11" t="s">
        <v>1225</v>
      </c>
      <c r="HS5" s="11" t="s">
        <v>1224</v>
      </c>
      <c r="HT5" s="11" t="s">
        <v>1223</v>
      </c>
      <c r="HU5" s="11" t="s">
        <v>1222</v>
      </c>
      <c r="HV5" s="11" t="s">
        <v>1221</v>
      </c>
      <c r="HW5" s="11" t="s">
        <v>1220</v>
      </c>
      <c r="HX5" s="11" t="s">
        <v>1219</v>
      </c>
      <c r="HY5" s="11" t="s">
        <v>1218</v>
      </c>
      <c r="HZ5" s="11" t="s">
        <v>1217</v>
      </c>
      <c r="IA5" s="11" t="s">
        <v>1216</v>
      </c>
      <c r="IB5" s="11" t="s">
        <v>1215</v>
      </c>
      <c r="IC5" s="11" t="s">
        <v>1214</v>
      </c>
      <c r="ID5" s="11" t="s">
        <v>1213</v>
      </c>
      <c r="IE5" s="11" t="s">
        <v>1212</v>
      </c>
      <c r="IF5" s="11" t="s">
        <v>1211</v>
      </c>
      <c r="IG5" s="11" t="s">
        <v>2244</v>
      </c>
      <c r="IH5" s="11" t="s">
        <v>2243</v>
      </c>
      <c r="II5" s="11" t="s">
        <v>2242</v>
      </c>
      <c r="IJ5" s="11" t="s">
        <v>2241</v>
      </c>
      <c r="IK5" s="11" t="s">
        <v>2240</v>
      </c>
      <c r="IL5" s="11" t="s">
        <v>2239</v>
      </c>
      <c r="IM5" s="11" t="s">
        <v>2238</v>
      </c>
      <c r="IN5" s="11" t="s">
        <v>2237</v>
      </c>
      <c r="IO5" s="11" t="s">
        <v>2236</v>
      </c>
      <c r="IP5" s="11" t="s">
        <v>2235</v>
      </c>
      <c r="IQ5" s="11" t="s">
        <v>2234</v>
      </c>
      <c r="IR5" s="11" t="s">
        <v>2233</v>
      </c>
      <c r="IS5" s="11" t="s">
        <v>2232</v>
      </c>
      <c r="IT5" s="11" t="s">
        <v>2231</v>
      </c>
      <c r="IU5" s="11" t="s">
        <v>2230</v>
      </c>
      <c r="IV5" s="11" t="s">
        <v>2229</v>
      </c>
      <c r="IW5" s="11" t="s">
        <v>2228</v>
      </c>
      <c r="IX5" s="11" t="s">
        <v>2227</v>
      </c>
      <c r="IY5" s="11" t="s">
        <v>2226</v>
      </c>
      <c r="IZ5" s="11" t="s">
        <v>2225</v>
      </c>
      <c r="JA5" s="11" t="s">
        <v>2224</v>
      </c>
      <c r="JB5" s="11" t="s">
        <v>2223</v>
      </c>
      <c r="JC5" s="11" t="s">
        <v>2222</v>
      </c>
      <c r="JD5" s="11" t="s">
        <v>2221</v>
      </c>
      <c r="JE5" s="11" t="s">
        <v>2220</v>
      </c>
      <c r="JF5" s="11" t="s">
        <v>2219</v>
      </c>
      <c r="JG5" s="11" t="s">
        <v>2218</v>
      </c>
      <c r="JH5" s="11" t="s">
        <v>2217</v>
      </c>
      <c r="JI5" s="11" t="s">
        <v>2216</v>
      </c>
      <c r="JJ5" s="11" t="s">
        <v>2215</v>
      </c>
      <c r="JK5" s="11" t="s">
        <v>2214</v>
      </c>
      <c r="JL5" s="11" t="s">
        <v>2213</v>
      </c>
      <c r="JM5" s="11" t="s">
        <v>2212</v>
      </c>
      <c r="JN5" s="11" t="s">
        <v>2211</v>
      </c>
      <c r="JO5" s="11" t="s">
        <v>2210</v>
      </c>
      <c r="JP5" s="11" t="s">
        <v>2209</v>
      </c>
      <c r="JQ5" s="11" t="s">
        <v>2208</v>
      </c>
      <c r="JR5" s="11" t="s">
        <v>2207</v>
      </c>
      <c r="JS5" s="11" t="s">
        <v>2206</v>
      </c>
      <c r="JT5" s="11" t="s">
        <v>2205</v>
      </c>
      <c r="JU5" s="11" t="s">
        <v>2204</v>
      </c>
      <c r="JV5" s="11" t="s">
        <v>2203</v>
      </c>
      <c r="JW5" s="11" t="s">
        <v>2202</v>
      </c>
      <c r="JX5" s="11" t="s">
        <v>2201</v>
      </c>
      <c r="JY5" s="11" t="s">
        <v>2200</v>
      </c>
      <c r="JZ5" s="11" t="s">
        <v>2199</v>
      </c>
      <c r="KA5" s="11" t="s">
        <v>2198</v>
      </c>
      <c r="KB5" s="11" t="s">
        <v>2197</v>
      </c>
      <c r="KC5" s="11" t="s">
        <v>2196</v>
      </c>
      <c r="KD5" s="11" t="s">
        <v>2195</v>
      </c>
      <c r="KE5" s="11" t="s">
        <v>2194</v>
      </c>
      <c r="KF5" s="11" t="s">
        <v>2193</v>
      </c>
      <c r="KG5" s="11" t="s">
        <v>2192</v>
      </c>
      <c r="KH5" s="11" t="s">
        <v>2191</v>
      </c>
      <c r="KI5" s="11" t="s">
        <v>2190</v>
      </c>
      <c r="KJ5" s="11" t="s">
        <v>2189</v>
      </c>
      <c r="KK5" s="11" t="s">
        <v>2188</v>
      </c>
      <c r="KL5" s="11" t="s">
        <v>2187</v>
      </c>
      <c r="KM5" s="11" t="s">
        <v>2186</v>
      </c>
      <c r="KN5" s="11" t="s">
        <v>2185</v>
      </c>
      <c r="KO5" s="11" t="s">
        <v>2184</v>
      </c>
      <c r="KP5" s="11" t="s">
        <v>2183</v>
      </c>
      <c r="KQ5" s="11" t="s">
        <v>2182</v>
      </c>
      <c r="KR5" s="11" t="s">
        <v>2181</v>
      </c>
      <c r="KS5" s="11" t="s">
        <v>2180</v>
      </c>
      <c r="KT5" s="11" t="s">
        <v>2179</v>
      </c>
      <c r="KU5" s="11" t="s">
        <v>2178</v>
      </c>
      <c r="KV5" s="11" t="s">
        <v>2177</v>
      </c>
      <c r="KW5" s="11" t="s">
        <v>2176</v>
      </c>
      <c r="KX5" s="11" t="s">
        <v>2175</v>
      </c>
      <c r="KY5" s="11" t="s">
        <v>2174</v>
      </c>
      <c r="KZ5" s="11" t="s">
        <v>2173</v>
      </c>
      <c r="LA5" s="11" t="s">
        <v>2172</v>
      </c>
      <c r="LB5" s="11" t="s">
        <v>2171</v>
      </c>
      <c r="LC5" s="11" t="s">
        <v>2170</v>
      </c>
      <c r="LD5" s="11" t="s">
        <v>2169</v>
      </c>
      <c r="LE5" s="11" t="s">
        <v>2168</v>
      </c>
      <c r="LF5" s="11" t="s">
        <v>2167</v>
      </c>
      <c r="LG5" s="11" t="s">
        <v>2166</v>
      </c>
      <c r="LH5" s="11" t="s">
        <v>2165</v>
      </c>
      <c r="LI5" s="11" t="s">
        <v>2164</v>
      </c>
      <c r="LJ5" s="11" t="s">
        <v>2163</v>
      </c>
      <c r="LK5" s="11" t="s">
        <v>2162</v>
      </c>
      <c r="LL5" s="11" t="s">
        <v>2161</v>
      </c>
      <c r="LM5" s="11" t="s">
        <v>2160</v>
      </c>
      <c r="LN5" s="11" t="s">
        <v>2159</v>
      </c>
      <c r="LO5" s="11" t="s">
        <v>2158</v>
      </c>
      <c r="LP5" s="11" t="s">
        <v>2157</v>
      </c>
      <c r="LQ5" s="11" t="s">
        <v>2156</v>
      </c>
      <c r="LR5" s="11" t="s">
        <v>2155</v>
      </c>
      <c r="LS5" s="11" t="s">
        <v>2154</v>
      </c>
      <c r="LT5" s="11" t="s">
        <v>2153</v>
      </c>
      <c r="LU5" s="11" t="s">
        <v>2152</v>
      </c>
      <c r="LV5" s="11" t="s">
        <v>2151</v>
      </c>
      <c r="LW5" s="11" t="s">
        <v>2150</v>
      </c>
      <c r="LX5" s="11" t="s">
        <v>2149</v>
      </c>
      <c r="LY5" s="11" t="s">
        <v>2148</v>
      </c>
      <c r="LZ5" s="11" t="s">
        <v>2147</v>
      </c>
      <c r="MA5" s="11" t="s">
        <v>2146</v>
      </c>
      <c r="MB5" s="11" t="s">
        <v>2145</v>
      </c>
      <c r="MC5" s="11" t="s">
        <v>2144</v>
      </c>
      <c r="MD5" s="11" t="s">
        <v>2143</v>
      </c>
      <c r="ME5" s="11" t="s">
        <v>2142</v>
      </c>
      <c r="MF5" s="11" t="s">
        <v>2141</v>
      </c>
      <c r="MG5" s="11" t="s">
        <v>2140</v>
      </c>
      <c r="MH5" s="11" t="s">
        <v>2139</v>
      </c>
      <c r="MI5" s="11" t="s">
        <v>2138</v>
      </c>
      <c r="MJ5" s="11" t="s">
        <v>2137</v>
      </c>
      <c r="MK5" s="11" t="s">
        <v>2136</v>
      </c>
      <c r="ML5" s="11" t="s">
        <v>2135</v>
      </c>
      <c r="MM5" s="11" t="s">
        <v>2134</v>
      </c>
      <c r="MN5" s="11" t="s">
        <v>2133</v>
      </c>
      <c r="MO5" s="11" t="s">
        <v>2132</v>
      </c>
      <c r="MP5" s="11" t="s">
        <v>2131</v>
      </c>
      <c r="MQ5" s="11" t="s">
        <v>2130</v>
      </c>
      <c r="MR5" s="11" t="s">
        <v>2129</v>
      </c>
      <c r="MS5" s="11" t="s">
        <v>2128</v>
      </c>
      <c r="MT5" s="11" t="s">
        <v>2127</v>
      </c>
      <c r="MU5" s="11" t="s">
        <v>2126</v>
      </c>
      <c r="MV5" s="11" t="s">
        <v>2125</v>
      </c>
      <c r="MW5" s="11" t="s">
        <v>2124</v>
      </c>
      <c r="MX5" s="11" t="s">
        <v>2123</v>
      </c>
      <c r="MY5" s="11" t="s">
        <v>2122</v>
      </c>
      <c r="MZ5" s="11" t="s">
        <v>2121</v>
      </c>
      <c r="NA5" s="11" t="s">
        <v>2120</v>
      </c>
      <c r="NB5" s="11" t="s">
        <v>2119</v>
      </c>
      <c r="NC5" s="11" t="s">
        <v>2118</v>
      </c>
      <c r="ND5" s="11" t="s">
        <v>2117</v>
      </c>
      <c r="NE5" s="11" t="s">
        <v>2116</v>
      </c>
      <c r="NF5" s="11" t="s">
        <v>2115</v>
      </c>
      <c r="NG5" s="11" t="s">
        <v>2114</v>
      </c>
      <c r="NH5" s="11" t="s">
        <v>2113</v>
      </c>
      <c r="NI5" s="11" t="s">
        <v>2112</v>
      </c>
      <c r="NJ5" s="11" t="s">
        <v>2111</v>
      </c>
      <c r="NK5" s="11" t="s">
        <v>2110</v>
      </c>
      <c r="NL5" s="11" t="s">
        <v>2109</v>
      </c>
      <c r="NM5" s="11" t="s">
        <v>2108</v>
      </c>
      <c r="NN5" s="11" t="s">
        <v>2107</v>
      </c>
      <c r="NO5" s="11" t="s">
        <v>2106</v>
      </c>
      <c r="NP5" s="11" t="s">
        <v>2105</v>
      </c>
      <c r="NQ5" s="11" t="s">
        <v>2104</v>
      </c>
      <c r="NR5" s="11" t="s">
        <v>2103</v>
      </c>
      <c r="NS5" s="11" t="s">
        <v>2102</v>
      </c>
      <c r="NT5" s="11" t="s">
        <v>2101</v>
      </c>
      <c r="NU5" s="11" t="s">
        <v>2100</v>
      </c>
      <c r="NV5" s="11" t="s">
        <v>2099</v>
      </c>
      <c r="NW5" s="11" t="s">
        <v>2098</v>
      </c>
      <c r="NX5" s="11" t="s">
        <v>2097</v>
      </c>
      <c r="NY5" s="11" t="s">
        <v>2096</v>
      </c>
      <c r="NZ5" s="11" t="s">
        <v>2095</v>
      </c>
      <c r="OA5" s="11" t="s">
        <v>2094</v>
      </c>
      <c r="OB5" s="11" t="s">
        <v>2093</v>
      </c>
      <c r="OC5" s="11" t="s">
        <v>2092</v>
      </c>
      <c r="OD5" s="11" t="s">
        <v>2091</v>
      </c>
      <c r="OE5" s="11" t="s">
        <v>2090</v>
      </c>
      <c r="OF5" s="11" t="s">
        <v>2089</v>
      </c>
      <c r="OG5" s="11" t="s">
        <v>2088</v>
      </c>
      <c r="OH5" s="11" t="s">
        <v>2087</v>
      </c>
      <c r="OI5" s="11" t="s">
        <v>2086</v>
      </c>
      <c r="OJ5" s="11" t="s">
        <v>2085</v>
      </c>
      <c r="OK5" s="11" t="s">
        <v>2084</v>
      </c>
      <c r="OL5" s="11" t="s">
        <v>2083</v>
      </c>
      <c r="OM5" s="11" t="s">
        <v>2082</v>
      </c>
      <c r="ON5" s="11" t="s">
        <v>2081</v>
      </c>
      <c r="OO5" s="11" t="s">
        <v>2080</v>
      </c>
      <c r="OP5" s="11" t="s">
        <v>2079</v>
      </c>
      <c r="OQ5" s="11" t="s">
        <v>2078</v>
      </c>
      <c r="OR5" s="11" t="s">
        <v>2077</v>
      </c>
      <c r="OS5" s="11" t="s">
        <v>2076</v>
      </c>
      <c r="OT5" s="11" t="s">
        <v>2075</v>
      </c>
      <c r="OU5" s="11" t="s">
        <v>2074</v>
      </c>
      <c r="OV5" s="11" t="s">
        <v>2073</v>
      </c>
      <c r="OW5" s="11" t="s">
        <v>2072</v>
      </c>
      <c r="OX5" s="11" t="s">
        <v>2071</v>
      </c>
      <c r="OY5" s="11" t="s">
        <v>2070</v>
      </c>
      <c r="OZ5" s="11" t="s">
        <v>2069</v>
      </c>
      <c r="PA5" s="11" t="s">
        <v>2068</v>
      </c>
      <c r="PB5" s="11" t="s">
        <v>2067</v>
      </c>
      <c r="PC5" s="11" t="s">
        <v>2066</v>
      </c>
      <c r="PD5" s="11" t="s">
        <v>2065</v>
      </c>
      <c r="PE5" s="11" t="s">
        <v>2064</v>
      </c>
      <c r="PF5" s="11" t="s">
        <v>2063</v>
      </c>
      <c r="PG5" s="11" t="s">
        <v>2062</v>
      </c>
      <c r="PH5" s="11" t="s">
        <v>2061</v>
      </c>
      <c r="PI5" s="11" t="s">
        <v>2060</v>
      </c>
      <c r="PJ5" s="11" t="s">
        <v>2059</v>
      </c>
      <c r="PK5" s="11" t="s">
        <v>2058</v>
      </c>
      <c r="PL5" s="11" t="s">
        <v>2057</v>
      </c>
      <c r="PM5" s="11" t="s">
        <v>2056</v>
      </c>
      <c r="PN5" s="11" t="s">
        <v>2055</v>
      </c>
      <c r="PO5" s="11" t="s">
        <v>2054</v>
      </c>
      <c r="PP5" s="11" t="s">
        <v>2053</v>
      </c>
      <c r="PQ5" s="11" t="s">
        <v>2052</v>
      </c>
      <c r="PR5" s="11" t="s">
        <v>2051</v>
      </c>
      <c r="PS5" s="11" t="s">
        <v>2050</v>
      </c>
      <c r="PT5" s="11" t="s">
        <v>2049</v>
      </c>
      <c r="PU5" s="11" t="s">
        <v>2048</v>
      </c>
      <c r="PV5" s="11" t="s">
        <v>2047</v>
      </c>
      <c r="PW5" s="11" t="s">
        <v>2046</v>
      </c>
      <c r="PX5" s="11" t="s">
        <v>2045</v>
      </c>
      <c r="PY5" s="11" t="s">
        <v>2044</v>
      </c>
      <c r="PZ5" s="11" t="s">
        <v>2043</v>
      </c>
      <c r="QA5" s="11" t="s">
        <v>2042</v>
      </c>
      <c r="QB5" s="11" t="s">
        <v>2041</v>
      </c>
      <c r="QC5" s="11" t="s">
        <v>2040</v>
      </c>
      <c r="QD5" s="11" t="s">
        <v>2039</v>
      </c>
      <c r="QE5" s="11" t="s">
        <v>2038</v>
      </c>
      <c r="QF5" s="11" t="s">
        <v>2037</v>
      </c>
      <c r="QG5" s="11" t="s">
        <v>2036</v>
      </c>
      <c r="QH5" s="11" t="s">
        <v>2035</v>
      </c>
      <c r="QI5" s="11" t="s">
        <v>2034</v>
      </c>
      <c r="QJ5" s="11" t="s">
        <v>2033</v>
      </c>
      <c r="QK5" s="11" t="s">
        <v>2032</v>
      </c>
      <c r="QL5" s="11" t="s">
        <v>2031</v>
      </c>
      <c r="QM5" s="11" t="s">
        <v>2030</v>
      </c>
      <c r="QN5" s="11" t="s">
        <v>2029</v>
      </c>
      <c r="QO5" s="11" t="s">
        <v>2028</v>
      </c>
      <c r="QP5" s="11" t="s">
        <v>2027</v>
      </c>
      <c r="QQ5" s="11" t="s">
        <v>2026</v>
      </c>
      <c r="QR5" s="11" t="s">
        <v>2025</v>
      </c>
      <c r="QS5" s="11" t="s">
        <v>2024</v>
      </c>
      <c r="QT5" s="11" t="s">
        <v>2023</v>
      </c>
      <c r="QU5" s="11" t="s">
        <v>2022</v>
      </c>
      <c r="QV5" s="11" t="s">
        <v>2021</v>
      </c>
      <c r="QW5" s="11" t="s">
        <v>2020</v>
      </c>
      <c r="QX5" s="11" t="s">
        <v>2019</v>
      </c>
      <c r="QY5" s="11" t="s">
        <v>2018</v>
      </c>
      <c r="QZ5" s="11" t="s">
        <v>2017</v>
      </c>
      <c r="RA5" s="11" t="s">
        <v>2016</v>
      </c>
      <c r="RB5" s="11" t="s">
        <v>2015</v>
      </c>
      <c r="RC5" s="11" t="s">
        <v>2014</v>
      </c>
      <c r="RD5" s="11" t="s">
        <v>2013</v>
      </c>
      <c r="RE5" s="11" t="s">
        <v>2012</v>
      </c>
      <c r="RF5" s="11" t="s">
        <v>2011</v>
      </c>
      <c r="RG5" s="11" t="s">
        <v>2010</v>
      </c>
      <c r="RH5" s="11" t="s">
        <v>2009</v>
      </c>
      <c r="RI5" s="11" t="s">
        <v>2008</v>
      </c>
      <c r="RJ5" s="11" t="s">
        <v>2007</v>
      </c>
      <c r="RK5" s="11" t="s">
        <v>2006</v>
      </c>
      <c r="RL5" s="11" t="s">
        <v>2005</v>
      </c>
      <c r="RM5" s="11" t="s">
        <v>2004</v>
      </c>
      <c r="RN5" s="11" t="s">
        <v>2003</v>
      </c>
      <c r="RO5" s="11" t="s">
        <v>2002</v>
      </c>
      <c r="RP5" s="11" t="s">
        <v>2001</v>
      </c>
      <c r="RQ5" s="11" t="s">
        <v>2000</v>
      </c>
      <c r="RR5" s="11" t="s">
        <v>1999</v>
      </c>
      <c r="RS5" s="11" t="s">
        <v>1998</v>
      </c>
      <c r="RT5" s="11" t="s">
        <v>1997</v>
      </c>
      <c r="RU5" s="11" t="s">
        <v>1996</v>
      </c>
      <c r="RV5" s="11" t="s">
        <v>1995</v>
      </c>
      <c r="RW5" s="11" t="s">
        <v>1994</v>
      </c>
      <c r="RX5" s="11" t="s">
        <v>1993</v>
      </c>
      <c r="RY5" s="11" t="s">
        <v>1992</v>
      </c>
      <c r="RZ5" s="11" t="s">
        <v>1991</v>
      </c>
      <c r="SA5" s="11" t="s">
        <v>1990</v>
      </c>
      <c r="SB5" s="11" t="s">
        <v>1989</v>
      </c>
      <c r="SC5" s="11" t="s">
        <v>1988</v>
      </c>
      <c r="SD5" s="11" t="s">
        <v>1987</v>
      </c>
      <c r="SE5" s="11" t="s">
        <v>1986</v>
      </c>
      <c r="SF5" s="11" t="s">
        <v>1985</v>
      </c>
      <c r="SG5" s="11" t="s">
        <v>1984</v>
      </c>
      <c r="SH5" s="11" t="s">
        <v>1983</v>
      </c>
      <c r="SI5" s="11" t="s">
        <v>1982</v>
      </c>
      <c r="SJ5" s="11" t="s">
        <v>1981</v>
      </c>
      <c r="SK5" s="11" t="s">
        <v>1980</v>
      </c>
      <c r="SL5" s="11" t="s">
        <v>1979</v>
      </c>
      <c r="SM5" s="11" t="s">
        <v>1978</v>
      </c>
      <c r="SN5" s="11" t="s">
        <v>1977</v>
      </c>
      <c r="SO5" s="11" t="s">
        <v>1976</v>
      </c>
      <c r="SP5" s="11" t="s">
        <v>1975</v>
      </c>
      <c r="SQ5" s="11" t="s">
        <v>1974</v>
      </c>
      <c r="SR5" s="11" t="s">
        <v>1973</v>
      </c>
      <c r="SS5" s="11" t="s">
        <v>1972</v>
      </c>
      <c r="ST5" s="11" t="s">
        <v>1971</v>
      </c>
      <c r="SU5" s="11" t="s">
        <v>1970</v>
      </c>
      <c r="SV5" s="11" t="s">
        <v>1969</v>
      </c>
      <c r="SW5" s="11" t="s">
        <v>1968</v>
      </c>
      <c r="SX5" s="11" t="s">
        <v>1967</v>
      </c>
      <c r="SY5" s="11" t="s">
        <v>1966</v>
      </c>
      <c r="SZ5" s="11" t="s">
        <v>1965</v>
      </c>
      <c r="TA5" s="11" t="s">
        <v>1964</v>
      </c>
      <c r="TB5" s="11" t="s">
        <v>1963</v>
      </c>
      <c r="TC5" s="11" t="s">
        <v>1962</v>
      </c>
      <c r="TD5" s="11" t="s">
        <v>1961</v>
      </c>
      <c r="TE5" s="11" t="s">
        <v>1960</v>
      </c>
      <c r="TF5" s="11" t="s">
        <v>1959</v>
      </c>
      <c r="TG5" s="11" t="s">
        <v>1958</v>
      </c>
      <c r="TH5" s="11" t="s">
        <v>1957</v>
      </c>
      <c r="TI5" s="11" t="s">
        <v>1956</v>
      </c>
      <c r="TJ5" s="11" t="s">
        <v>1955</v>
      </c>
      <c r="TK5" s="11" t="s">
        <v>1954</v>
      </c>
      <c r="TL5" s="11" t="s">
        <v>1953</v>
      </c>
      <c r="TM5" s="11" t="s">
        <v>1952</v>
      </c>
      <c r="TN5" s="11" t="s">
        <v>1951</v>
      </c>
      <c r="TO5" s="11" t="s">
        <v>1950</v>
      </c>
      <c r="TP5" s="11" t="s">
        <v>1949</v>
      </c>
      <c r="TQ5" s="11" t="s">
        <v>1948</v>
      </c>
      <c r="TR5" s="11" t="s">
        <v>1947</v>
      </c>
      <c r="TS5" s="11" t="s">
        <v>1946</v>
      </c>
      <c r="TT5" s="11" t="s">
        <v>1945</v>
      </c>
      <c r="TU5" s="11" t="s">
        <v>1944</v>
      </c>
      <c r="TV5" s="11" t="s">
        <v>1943</v>
      </c>
      <c r="TW5" s="11" t="s">
        <v>1942</v>
      </c>
      <c r="TX5" s="11" t="s">
        <v>1941</v>
      </c>
      <c r="TY5" s="11" t="s">
        <v>1940</v>
      </c>
      <c r="TZ5" s="11" t="s">
        <v>1939</v>
      </c>
      <c r="UA5" s="11" t="s">
        <v>1938</v>
      </c>
      <c r="UB5" s="11" t="s">
        <v>1937</v>
      </c>
      <c r="UC5" s="11" t="s">
        <v>1936</v>
      </c>
      <c r="UD5" s="11" t="s">
        <v>1935</v>
      </c>
      <c r="UE5" s="11" t="s">
        <v>1934</v>
      </c>
      <c r="UF5" s="11" t="s">
        <v>1933</v>
      </c>
      <c r="UG5" s="11" t="s">
        <v>1932</v>
      </c>
      <c r="UH5" s="11" t="s">
        <v>1931</v>
      </c>
      <c r="UI5" s="11" t="s">
        <v>1930</v>
      </c>
      <c r="UJ5" s="11" t="s">
        <v>1929</v>
      </c>
      <c r="UK5" s="11" t="s">
        <v>1928</v>
      </c>
      <c r="UL5" s="11" t="s">
        <v>1927</v>
      </c>
      <c r="UM5" s="11" t="s">
        <v>1926</v>
      </c>
      <c r="UN5" s="11" t="s">
        <v>1925</v>
      </c>
      <c r="UO5" s="11" t="s">
        <v>1924</v>
      </c>
      <c r="UP5" s="11" t="s">
        <v>1923</v>
      </c>
      <c r="UQ5" s="11" t="s">
        <v>1922</v>
      </c>
      <c r="UR5" s="11" t="s">
        <v>1921</v>
      </c>
      <c r="US5" s="11" t="s">
        <v>1920</v>
      </c>
      <c r="UT5" s="11" t="s">
        <v>1919</v>
      </c>
      <c r="UU5" s="11" t="s">
        <v>1918</v>
      </c>
      <c r="UV5" s="11" t="s">
        <v>1917</v>
      </c>
      <c r="UW5" s="11" t="s">
        <v>1916</v>
      </c>
      <c r="UX5" s="11" t="s">
        <v>1915</v>
      </c>
      <c r="UY5" s="11" t="s">
        <v>1914</v>
      </c>
      <c r="UZ5" s="11" t="s">
        <v>1913</v>
      </c>
      <c r="VA5" s="11" t="s">
        <v>1912</v>
      </c>
      <c r="VB5" s="11" t="s">
        <v>1911</v>
      </c>
      <c r="VC5" s="11" t="s">
        <v>1910</v>
      </c>
      <c r="VD5" s="11" t="s">
        <v>1909</v>
      </c>
      <c r="VE5" s="11" t="s">
        <v>1908</v>
      </c>
      <c r="VF5" s="11" t="s">
        <v>1907</v>
      </c>
      <c r="VG5" s="11" t="s">
        <v>1906</v>
      </c>
      <c r="VH5" s="11" t="s">
        <v>1905</v>
      </c>
      <c r="VI5" s="11" t="s">
        <v>1904</v>
      </c>
      <c r="VJ5" s="11" t="s">
        <v>1903</v>
      </c>
      <c r="VK5" s="11" t="s">
        <v>1902</v>
      </c>
      <c r="VL5" s="11" t="s">
        <v>1901</v>
      </c>
      <c r="VM5" s="11" t="s">
        <v>1900</v>
      </c>
      <c r="VN5" s="11" t="s">
        <v>1899</v>
      </c>
      <c r="VO5" s="11" t="s">
        <v>1898</v>
      </c>
      <c r="VP5" s="11" t="s">
        <v>1897</v>
      </c>
      <c r="VQ5" s="11" t="s">
        <v>1896</v>
      </c>
      <c r="VR5" s="11" t="s">
        <v>1895</v>
      </c>
      <c r="VS5" s="11" t="s">
        <v>1894</v>
      </c>
      <c r="VT5" s="11" t="s">
        <v>1893</v>
      </c>
      <c r="VU5" s="11" t="s">
        <v>1892</v>
      </c>
      <c r="VV5" s="11" t="s">
        <v>1891</v>
      </c>
      <c r="VW5" s="11" t="s">
        <v>1890</v>
      </c>
      <c r="VX5" s="11" t="s">
        <v>1889</v>
      </c>
      <c r="VY5" s="11" t="s">
        <v>1888</v>
      </c>
      <c r="VZ5" s="11" t="s">
        <v>1887</v>
      </c>
      <c r="WA5" s="11" t="s">
        <v>1886</v>
      </c>
      <c r="WB5" s="11" t="s">
        <v>1885</v>
      </c>
      <c r="WC5" s="11" t="s">
        <v>1884</v>
      </c>
      <c r="WD5" s="11" t="s">
        <v>1883</v>
      </c>
      <c r="WE5" s="11" t="s">
        <v>1882</v>
      </c>
      <c r="WF5" s="11" t="s">
        <v>1881</v>
      </c>
      <c r="WG5" s="11" t="s">
        <v>1880</v>
      </c>
      <c r="WH5" s="11" t="s">
        <v>1879</v>
      </c>
      <c r="WI5" s="11" t="s">
        <v>1878</v>
      </c>
      <c r="WJ5" s="11" t="s">
        <v>1877</v>
      </c>
      <c r="WK5" s="11" t="s">
        <v>1876</v>
      </c>
      <c r="WL5" s="11" t="s">
        <v>1875</v>
      </c>
      <c r="WM5" s="11" t="s">
        <v>1874</v>
      </c>
      <c r="WN5" s="11" t="s">
        <v>1873</v>
      </c>
      <c r="WO5" s="11" t="s">
        <v>1872</v>
      </c>
      <c r="WP5" s="11" t="s">
        <v>1871</v>
      </c>
      <c r="WQ5" s="11" t="s">
        <v>1870</v>
      </c>
      <c r="WR5" s="11" t="s">
        <v>1869</v>
      </c>
      <c r="WS5" s="11" t="s">
        <v>1868</v>
      </c>
      <c r="WT5" s="11" t="s">
        <v>1867</v>
      </c>
      <c r="WU5" s="11" t="s">
        <v>1866</v>
      </c>
      <c r="WV5" s="11" t="s">
        <v>1865</v>
      </c>
      <c r="WW5" s="11" t="s">
        <v>1864</v>
      </c>
      <c r="WX5" s="11" t="s">
        <v>1863</v>
      </c>
      <c r="WY5" s="11" t="s">
        <v>1862</v>
      </c>
      <c r="WZ5" s="11" t="s">
        <v>1861</v>
      </c>
      <c r="XA5" s="11" t="s">
        <v>1860</v>
      </c>
      <c r="XB5" s="11" t="s">
        <v>1859</v>
      </c>
      <c r="XC5" s="11" t="s">
        <v>1858</v>
      </c>
      <c r="XD5" s="11" t="s">
        <v>1857</v>
      </c>
      <c r="XE5" s="11" t="s">
        <v>1856</v>
      </c>
      <c r="XF5" s="11" t="s">
        <v>1855</v>
      </c>
      <c r="XG5" s="11" t="s">
        <v>1854</v>
      </c>
      <c r="XH5" s="11" t="s">
        <v>1853</v>
      </c>
      <c r="XI5" s="11" t="s">
        <v>1852</v>
      </c>
      <c r="XJ5" s="11" t="s">
        <v>1851</v>
      </c>
      <c r="XK5" s="11" t="s">
        <v>1850</v>
      </c>
      <c r="XL5" s="11" t="s">
        <v>1849</v>
      </c>
      <c r="XM5" s="11" t="s">
        <v>1848</v>
      </c>
      <c r="XN5" s="11" t="s">
        <v>1847</v>
      </c>
      <c r="XO5" s="11" t="s">
        <v>1846</v>
      </c>
      <c r="XP5" s="11" t="s">
        <v>1845</v>
      </c>
      <c r="XQ5" s="11" t="s">
        <v>1844</v>
      </c>
      <c r="XR5" s="11" t="s">
        <v>1843</v>
      </c>
      <c r="XS5" s="11" t="s">
        <v>1842</v>
      </c>
      <c r="XT5" s="11" t="s">
        <v>1841</v>
      </c>
      <c r="XU5" s="11" t="s">
        <v>1840</v>
      </c>
      <c r="XV5" s="11" t="s">
        <v>1839</v>
      </c>
      <c r="XW5" s="11" t="s">
        <v>1838</v>
      </c>
      <c r="XX5" s="11" t="s">
        <v>1837</v>
      </c>
      <c r="XY5" s="11" t="s">
        <v>1836</v>
      </c>
      <c r="XZ5" s="11" t="s">
        <v>1835</v>
      </c>
      <c r="YA5" s="11" t="s">
        <v>1834</v>
      </c>
      <c r="YB5" s="11" t="s">
        <v>1833</v>
      </c>
      <c r="YC5" s="11" t="s">
        <v>1832</v>
      </c>
      <c r="YD5" s="11" t="s">
        <v>1831</v>
      </c>
      <c r="YE5" s="11" t="s">
        <v>1830</v>
      </c>
      <c r="YF5" s="11" t="s">
        <v>1829</v>
      </c>
      <c r="YG5" s="11" t="s">
        <v>1828</v>
      </c>
      <c r="YH5" s="11" t="s">
        <v>1827</v>
      </c>
      <c r="YI5" s="11" t="s">
        <v>1826</v>
      </c>
      <c r="YJ5" s="11" t="s">
        <v>1825</v>
      </c>
      <c r="YK5" s="11" t="s">
        <v>1824</v>
      </c>
      <c r="YL5" s="11" t="s">
        <v>1823</v>
      </c>
      <c r="YM5" s="11" t="s">
        <v>1822</v>
      </c>
      <c r="YN5" s="11" t="s">
        <v>1821</v>
      </c>
      <c r="YO5" s="11" t="s">
        <v>1820</v>
      </c>
      <c r="YP5" s="11" t="s">
        <v>1819</v>
      </c>
      <c r="YQ5" s="11" t="s">
        <v>1818</v>
      </c>
      <c r="YR5" s="11" t="s">
        <v>1817</v>
      </c>
      <c r="YS5" s="11" t="s">
        <v>1816</v>
      </c>
      <c r="YT5" s="11" t="s">
        <v>1815</v>
      </c>
      <c r="YU5" s="11" t="s">
        <v>1814</v>
      </c>
      <c r="YV5" s="11" t="s">
        <v>1813</v>
      </c>
      <c r="YW5" s="11" t="s">
        <v>1812</v>
      </c>
      <c r="YX5" s="11" t="s">
        <v>1811</v>
      </c>
      <c r="YY5" s="11" t="s">
        <v>1810</v>
      </c>
      <c r="YZ5" s="11" t="s">
        <v>1809</v>
      </c>
      <c r="ZA5" s="11" t="s">
        <v>1808</v>
      </c>
      <c r="ZB5" s="11" t="s">
        <v>1807</v>
      </c>
      <c r="ZC5" s="11" t="s">
        <v>1806</v>
      </c>
      <c r="ZD5" s="11" t="s">
        <v>1805</v>
      </c>
      <c r="ZE5" s="11" t="s">
        <v>1804</v>
      </c>
      <c r="ZF5" s="11" t="s">
        <v>1803</v>
      </c>
      <c r="ZG5" s="11" t="s">
        <v>1802</v>
      </c>
      <c r="ZH5" s="11" t="s">
        <v>1801</v>
      </c>
      <c r="ZI5" s="11" t="s">
        <v>1800</v>
      </c>
      <c r="ZJ5" s="11" t="s">
        <v>1799</v>
      </c>
      <c r="ZK5" s="11" t="s">
        <v>1798</v>
      </c>
      <c r="ZL5" s="11" t="s">
        <v>1797</v>
      </c>
      <c r="ZM5" s="11" t="s">
        <v>1796</v>
      </c>
      <c r="ZN5" s="11" t="s">
        <v>1795</v>
      </c>
      <c r="ZO5" s="11" t="s">
        <v>1794</v>
      </c>
      <c r="ZP5" s="11" t="s">
        <v>1793</v>
      </c>
      <c r="ZQ5" s="11" t="s">
        <v>1792</v>
      </c>
      <c r="ZR5" s="11" t="s">
        <v>1791</v>
      </c>
      <c r="ZS5" s="11" t="s">
        <v>1790</v>
      </c>
      <c r="ZT5" s="11" t="s">
        <v>1789</v>
      </c>
      <c r="ZU5" s="11" t="s">
        <v>1788</v>
      </c>
      <c r="ZV5" s="11" t="s">
        <v>1787</v>
      </c>
      <c r="ZW5" s="11" t="s">
        <v>1786</v>
      </c>
      <c r="ZX5" s="11" t="s">
        <v>1785</v>
      </c>
      <c r="ZY5" s="11" t="s">
        <v>1784</v>
      </c>
      <c r="ZZ5" s="11" t="s">
        <v>1783</v>
      </c>
      <c r="AAA5" s="11" t="s">
        <v>1782</v>
      </c>
      <c r="AAB5" s="11" t="s">
        <v>1781</v>
      </c>
      <c r="AAC5" s="11" t="s">
        <v>1780</v>
      </c>
      <c r="AAD5" s="11" t="s">
        <v>1779</v>
      </c>
      <c r="AAE5" s="11" t="s">
        <v>1778</v>
      </c>
      <c r="AAF5" s="11" t="s">
        <v>1777</v>
      </c>
      <c r="AAG5" s="11" t="s">
        <v>1776</v>
      </c>
      <c r="AAH5" s="11" t="s">
        <v>1775</v>
      </c>
      <c r="AAI5" s="11" t="s">
        <v>1774</v>
      </c>
      <c r="AAJ5" s="11" t="s">
        <v>1773</v>
      </c>
      <c r="AAK5" s="11" t="s">
        <v>1772</v>
      </c>
      <c r="AAL5" s="11" t="s">
        <v>1771</v>
      </c>
      <c r="AAM5" s="11" t="s">
        <v>1770</v>
      </c>
      <c r="AAN5" s="11" t="s">
        <v>1769</v>
      </c>
      <c r="AAO5" s="11" t="s">
        <v>1768</v>
      </c>
      <c r="AAP5" s="11" t="s">
        <v>1767</v>
      </c>
      <c r="AAQ5" s="11" t="s">
        <v>1766</v>
      </c>
      <c r="AAR5" s="11" t="s">
        <v>1765</v>
      </c>
      <c r="AAS5" s="11" t="s">
        <v>1764</v>
      </c>
      <c r="AAT5" s="11" t="s">
        <v>1763</v>
      </c>
      <c r="AAU5" s="11" t="s">
        <v>1762</v>
      </c>
      <c r="AAV5" s="11" t="s">
        <v>1761</v>
      </c>
      <c r="AAW5" s="11" t="s">
        <v>1760</v>
      </c>
      <c r="AAX5" s="11" t="s">
        <v>1759</v>
      </c>
      <c r="AAY5" s="11" t="s">
        <v>1758</v>
      </c>
      <c r="AAZ5" s="11" t="s">
        <v>1757</v>
      </c>
      <c r="ABA5" s="11" t="s">
        <v>1756</v>
      </c>
      <c r="ABB5" s="11" t="s">
        <v>1755</v>
      </c>
      <c r="ABC5" s="11" t="s">
        <v>1754</v>
      </c>
      <c r="ABD5" s="11" t="s">
        <v>1753</v>
      </c>
      <c r="ABE5" s="11" t="s">
        <v>1752</v>
      </c>
      <c r="ABF5" s="11" t="s">
        <v>1751</v>
      </c>
      <c r="ABG5" s="11" t="s">
        <v>1750</v>
      </c>
      <c r="ABH5" s="11" t="s">
        <v>1749</v>
      </c>
      <c r="ABI5" s="11" t="s">
        <v>1748</v>
      </c>
      <c r="ABJ5" s="11" t="s">
        <v>1747</v>
      </c>
      <c r="ABK5" s="11" t="s">
        <v>1746</v>
      </c>
      <c r="ABL5" s="11" t="s">
        <v>1745</v>
      </c>
      <c r="ABM5" s="11" t="s">
        <v>1744</v>
      </c>
      <c r="ABN5" s="11" t="s">
        <v>1743</v>
      </c>
      <c r="ABO5" s="11" t="s">
        <v>1742</v>
      </c>
      <c r="ABP5" s="11" t="s">
        <v>1741</v>
      </c>
      <c r="ABQ5" s="11" t="s">
        <v>1740</v>
      </c>
      <c r="ABR5" s="11" t="s">
        <v>1739</v>
      </c>
      <c r="ABS5" s="11" t="s">
        <v>1738</v>
      </c>
      <c r="ABT5" s="11" t="s">
        <v>1737</v>
      </c>
      <c r="ABU5" s="11" t="s">
        <v>1736</v>
      </c>
      <c r="ABV5" s="11" t="s">
        <v>1735</v>
      </c>
      <c r="ABW5" s="11" t="s">
        <v>1734</v>
      </c>
      <c r="ABX5" s="11" t="s">
        <v>1733</v>
      </c>
      <c r="ABY5" s="11" t="s">
        <v>1732</v>
      </c>
      <c r="ABZ5" s="11" t="s">
        <v>1731</v>
      </c>
      <c r="ACA5" s="11" t="s">
        <v>1730</v>
      </c>
      <c r="ACB5" s="11" t="s">
        <v>1729</v>
      </c>
      <c r="ACC5" s="11" t="s">
        <v>1728</v>
      </c>
    </row>
    <row r="6" spans="1:757">
      <c r="A6" s="1" t="s">
        <v>772</v>
      </c>
      <c r="B6" s="1" t="s">
        <v>802</v>
      </c>
      <c r="C6" s="1" t="s">
        <v>788</v>
      </c>
      <c r="D6" s="1" t="s">
        <v>685</v>
      </c>
      <c r="E6" s="1" t="s">
        <v>685</v>
      </c>
      <c r="F6" s="1" t="s">
        <v>3034</v>
      </c>
      <c r="G6" s="77">
        <f t="shared" ref="G6:G17" si="0">SUM(H6:ACC6)</f>
        <v>136056</v>
      </c>
      <c r="H6" s="1">
        <v>49504</v>
      </c>
      <c r="I6" s="1">
        <v>79412</v>
      </c>
      <c r="J6" s="1">
        <v>52</v>
      </c>
      <c r="K6" s="1">
        <v>114</v>
      </c>
      <c r="L6" s="1">
        <v>0</v>
      </c>
      <c r="M6" s="1">
        <v>143</v>
      </c>
      <c r="N6" s="1">
        <v>0</v>
      </c>
      <c r="O6" s="1">
        <v>1595</v>
      </c>
      <c r="P6" s="1">
        <v>591</v>
      </c>
      <c r="Q6" s="1">
        <v>1</v>
      </c>
      <c r="R6" s="1">
        <v>1</v>
      </c>
      <c r="S6" s="1">
        <v>0</v>
      </c>
      <c r="T6" s="1">
        <v>6</v>
      </c>
      <c r="U6" s="1">
        <v>13</v>
      </c>
      <c r="V6" s="1">
        <v>0</v>
      </c>
      <c r="W6" s="1">
        <v>0</v>
      </c>
      <c r="X6" s="1">
        <v>1</v>
      </c>
      <c r="Y6" s="1">
        <v>263</v>
      </c>
      <c r="Z6" s="1">
        <v>0</v>
      </c>
      <c r="AA6" s="1">
        <v>0</v>
      </c>
      <c r="AB6" s="1">
        <v>2</v>
      </c>
      <c r="AC6" s="1">
        <v>149</v>
      </c>
      <c r="AD6" s="1">
        <v>3</v>
      </c>
      <c r="AE6" s="1">
        <v>0</v>
      </c>
      <c r="AF6" s="1">
        <v>130</v>
      </c>
      <c r="AG6" s="1">
        <v>0</v>
      </c>
      <c r="AH6" s="1">
        <v>302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378</v>
      </c>
      <c r="AS6" s="1">
        <v>0</v>
      </c>
      <c r="AT6" s="1">
        <v>3</v>
      </c>
      <c r="AU6" s="1">
        <v>0</v>
      </c>
      <c r="AV6" s="1">
        <v>369</v>
      </c>
      <c r="AW6" s="1">
        <v>0</v>
      </c>
      <c r="AX6" s="1">
        <v>14</v>
      </c>
      <c r="AY6" s="1">
        <v>0</v>
      </c>
      <c r="AZ6" s="1">
        <v>0</v>
      </c>
      <c r="BA6" s="1">
        <v>7</v>
      </c>
      <c r="BB6" s="1">
        <v>0</v>
      </c>
      <c r="BC6" s="1">
        <v>256</v>
      </c>
      <c r="BD6" s="1">
        <v>0</v>
      </c>
      <c r="BE6" s="1">
        <v>0</v>
      </c>
      <c r="BF6" s="1">
        <v>0</v>
      </c>
      <c r="BG6" s="1">
        <v>69</v>
      </c>
      <c r="BH6" s="1">
        <v>548</v>
      </c>
      <c r="BI6" s="1">
        <v>9</v>
      </c>
      <c r="BJ6" s="1">
        <v>40</v>
      </c>
      <c r="BK6" s="1">
        <v>9</v>
      </c>
      <c r="BL6" s="1">
        <v>0</v>
      </c>
      <c r="BM6" s="1">
        <v>0</v>
      </c>
      <c r="BN6" s="1">
        <v>1</v>
      </c>
      <c r="BO6" s="1">
        <v>0</v>
      </c>
      <c r="BP6" s="1">
        <v>119</v>
      </c>
      <c r="BQ6" s="1">
        <v>234</v>
      </c>
      <c r="BR6" s="1">
        <v>70</v>
      </c>
      <c r="BS6" s="1">
        <v>0</v>
      </c>
      <c r="BT6" s="1">
        <v>2</v>
      </c>
      <c r="BU6" s="1">
        <v>0</v>
      </c>
      <c r="BV6" s="1">
        <v>0</v>
      </c>
      <c r="BW6" s="1">
        <v>3</v>
      </c>
      <c r="BX6" s="1">
        <v>0</v>
      </c>
      <c r="BY6" s="1">
        <v>4</v>
      </c>
      <c r="BZ6" s="1">
        <v>161</v>
      </c>
      <c r="CA6" s="1">
        <v>2</v>
      </c>
      <c r="CB6" s="1">
        <v>1</v>
      </c>
      <c r="CC6" s="1">
        <v>245</v>
      </c>
      <c r="CD6" s="1">
        <v>0</v>
      </c>
      <c r="CE6" s="1">
        <v>248</v>
      </c>
      <c r="CF6" s="1">
        <v>0</v>
      </c>
      <c r="CG6" s="1">
        <v>0</v>
      </c>
      <c r="CH6" s="1">
        <v>3</v>
      </c>
      <c r="CI6" s="1">
        <v>424</v>
      </c>
      <c r="CJ6" s="1">
        <v>4</v>
      </c>
      <c r="CK6" s="1">
        <v>0</v>
      </c>
      <c r="CL6" s="1">
        <v>2</v>
      </c>
      <c r="CM6" s="1">
        <v>3</v>
      </c>
      <c r="CN6" s="1">
        <v>0</v>
      </c>
      <c r="CO6" s="1">
        <v>0</v>
      </c>
      <c r="CP6" s="1">
        <v>0</v>
      </c>
      <c r="CQ6" s="1">
        <v>1</v>
      </c>
      <c r="CR6" s="1">
        <v>0</v>
      </c>
      <c r="CS6" s="1">
        <v>11</v>
      </c>
      <c r="CT6" s="1">
        <v>0</v>
      </c>
      <c r="CU6" s="1">
        <v>1</v>
      </c>
      <c r="CV6" s="1">
        <v>0</v>
      </c>
      <c r="CW6" s="1">
        <v>1</v>
      </c>
      <c r="CX6" s="1">
        <v>0</v>
      </c>
      <c r="CY6" s="1">
        <v>0</v>
      </c>
      <c r="CZ6" s="1">
        <v>3</v>
      </c>
      <c r="DA6" s="1">
        <v>2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6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2</v>
      </c>
      <c r="DS6" s="1">
        <v>5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2</v>
      </c>
      <c r="ED6" s="1">
        <v>0</v>
      </c>
      <c r="EE6" s="1">
        <v>1</v>
      </c>
      <c r="EF6" s="1">
        <v>8</v>
      </c>
      <c r="EG6" s="1">
        <v>0</v>
      </c>
      <c r="EH6" s="1">
        <v>0</v>
      </c>
      <c r="EI6" s="1">
        <v>2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70</v>
      </c>
      <c r="EP6" s="1">
        <v>74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1</v>
      </c>
      <c r="EW6" s="1">
        <v>0</v>
      </c>
      <c r="EX6" s="1">
        <v>0</v>
      </c>
      <c r="EY6" s="1">
        <v>3</v>
      </c>
      <c r="EZ6" s="1">
        <v>0</v>
      </c>
      <c r="FA6" s="1">
        <v>62</v>
      </c>
      <c r="FB6" s="1">
        <v>0</v>
      </c>
      <c r="FC6" s="1">
        <v>0</v>
      </c>
      <c r="FD6" s="1">
        <v>0</v>
      </c>
      <c r="FE6" s="1">
        <v>0</v>
      </c>
      <c r="FF6" s="1">
        <v>8</v>
      </c>
      <c r="FG6" s="1">
        <v>0</v>
      </c>
      <c r="FH6" s="1">
        <v>0</v>
      </c>
      <c r="FI6" s="1">
        <v>0</v>
      </c>
      <c r="FJ6" s="1">
        <v>1</v>
      </c>
      <c r="FK6" s="1">
        <v>0</v>
      </c>
      <c r="FL6" s="1">
        <v>0</v>
      </c>
      <c r="FM6" s="1">
        <v>0</v>
      </c>
      <c r="FN6" s="1">
        <v>3</v>
      </c>
      <c r="FO6" s="1">
        <v>1</v>
      </c>
      <c r="FP6" s="1">
        <v>0</v>
      </c>
      <c r="FQ6" s="1">
        <v>0</v>
      </c>
      <c r="FR6" s="1">
        <v>0</v>
      </c>
      <c r="FS6" s="1">
        <v>5</v>
      </c>
      <c r="FT6" s="1">
        <v>0</v>
      </c>
      <c r="FU6" s="1">
        <v>0</v>
      </c>
      <c r="FV6" s="1">
        <v>3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1</v>
      </c>
      <c r="GC6" s="1">
        <v>0</v>
      </c>
      <c r="GD6" s="1">
        <v>0</v>
      </c>
      <c r="GE6" s="1">
        <v>0</v>
      </c>
      <c r="GF6" s="1">
        <v>6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17</v>
      </c>
      <c r="GT6" s="1">
        <v>2</v>
      </c>
      <c r="GU6" s="1">
        <v>0</v>
      </c>
      <c r="GV6" s="1">
        <v>0</v>
      </c>
      <c r="GW6" s="1">
        <v>0</v>
      </c>
      <c r="GX6" s="1">
        <v>0</v>
      </c>
      <c r="GY6" s="1">
        <v>1</v>
      </c>
      <c r="GZ6" s="1">
        <v>0</v>
      </c>
      <c r="HA6" s="1">
        <v>0</v>
      </c>
      <c r="HB6" s="1">
        <v>8</v>
      </c>
      <c r="HC6" s="1">
        <v>0</v>
      </c>
      <c r="HD6" s="1">
        <v>0</v>
      </c>
      <c r="HE6" s="1">
        <v>2</v>
      </c>
      <c r="HF6" s="1">
        <v>1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11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2</v>
      </c>
      <c r="HV6" s="1">
        <v>0</v>
      </c>
      <c r="HW6" s="1">
        <v>1</v>
      </c>
      <c r="HX6" s="1">
        <v>0</v>
      </c>
      <c r="HY6" s="1">
        <v>0</v>
      </c>
      <c r="HZ6" s="1">
        <v>0</v>
      </c>
      <c r="IA6" s="1">
        <v>0</v>
      </c>
      <c r="IB6" s="1">
        <v>3</v>
      </c>
      <c r="IC6" s="1">
        <v>0</v>
      </c>
      <c r="ID6" s="1">
        <v>0</v>
      </c>
      <c r="IE6" s="1">
        <v>0</v>
      </c>
      <c r="IF6" s="1">
        <v>24</v>
      </c>
      <c r="IG6" s="1">
        <v>0</v>
      </c>
      <c r="IH6" s="1">
        <v>24</v>
      </c>
      <c r="II6" s="1">
        <v>1</v>
      </c>
      <c r="IJ6" s="1">
        <v>3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2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10</v>
      </c>
      <c r="JH6" s="1">
        <v>0</v>
      </c>
      <c r="JI6" s="1">
        <v>1</v>
      </c>
      <c r="JJ6" s="1">
        <v>0</v>
      </c>
      <c r="JK6" s="1">
        <v>9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1</v>
      </c>
      <c r="JT6" s="1">
        <v>0</v>
      </c>
      <c r="JU6" s="1">
        <v>0</v>
      </c>
      <c r="JV6" s="1">
        <v>0</v>
      </c>
      <c r="JW6" s="1">
        <v>0</v>
      </c>
      <c r="JX6" s="1">
        <v>1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5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1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1</v>
      </c>
      <c r="LD6" s="1">
        <v>0</v>
      </c>
      <c r="LE6" s="1">
        <v>2</v>
      </c>
      <c r="LF6" s="1">
        <v>1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2</v>
      </c>
      <c r="LN6" s="1">
        <v>2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1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3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5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1">
        <v>0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0</v>
      </c>
      <c r="NQ6" s="1">
        <v>0</v>
      </c>
      <c r="NR6" s="1">
        <v>0</v>
      </c>
      <c r="NS6" s="1">
        <v>0</v>
      </c>
      <c r="NT6" s="1">
        <v>2</v>
      </c>
      <c r="NU6" s="1">
        <v>1</v>
      </c>
      <c r="NV6" s="1">
        <v>1</v>
      </c>
      <c r="NW6" s="1">
        <v>0</v>
      </c>
      <c r="NX6" s="1">
        <v>0</v>
      </c>
      <c r="NY6" s="1">
        <v>0</v>
      </c>
      <c r="NZ6" s="1">
        <v>4</v>
      </c>
      <c r="OA6" s="1">
        <v>0</v>
      </c>
      <c r="OB6" s="1">
        <v>0</v>
      </c>
      <c r="OC6" s="1">
        <v>0</v>
      </c>
      <c r="OD6" s="1">
        <v>3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</v>
      </c>
      <c r="OT6" s="1">
        <v>22</v>
      </c>
      <c r="OU6" s="1">
        <v>5</v>
      </c>
      <c r="OV6" s="1">
        <v>0</v>
      </c>
      <c r="OW6" s="1">
        <v>0</v>
      </c>
      <c r="OX6" s="1">
        <v>0</v>
      </c>
      <c r="OY6" s="1">
        <v>0</v>
      </c>
      <c r="OZ6" s="1">
        <v>0</v>
      </c>
      <c r="PA6" s="1">
        <v>0</v>
      </c>
      <c r="PB6" s="1">
        <v>0</v>
      </c>
      <c r="PC6" s="1">
        <v>0</v>
      </c>
      <c r="PD6" s="1">
        <v>0</v>
      </c>
      <c r="PE6" s="1">
        <v>0</v>
      </c>
      <c r="PF6" s="1">
        <v>0</v>
      </c>
      <c r="PG6" s="1">
        <v>0</v>
      </c>
      <c r="PH6" s="1">
        <v>0</v>
      </c>
      <c r="PI6" s="1">
        <v>1</v>
      </c>
      <c r="PJ6" s="1">
        <v>0</v>
      </c>
      <c r="PK6" s="1">
        <v>0</v>
      </c>
      <c r="PL6" s="1">
        <v>0</v>
      </c>
      <c r="PM6" s="1">
        <v>0</v>
      </c>
      <c r="PN6" s="1">
        <v>0</v>
      </c>
      <c r="PO6" s="1">
        <v>0</v>
      </c>
      <c r="PP6" s="1">
        <v>0</v>
      </c>
      <c r="PQ6" s="1">
        <v>0</v>
      </c>
      <c r="PR6" s="1">
        <v>0</v>
      </c>
      <c r="PS6" s="1">
        <v>0</v>
      </c>
      <c r="PT6" s="1">
        <v>0</v>
      </c>
      <c r="PU6" s="1">
        <v>0</v>
      </c>
      <c r="PV6" s="1">
        <v>0</v>
      </c>
      <c r="PW6" s="1">
        <v>0</v>
      </c>
      <c r="PX6" s="1">
        <v>0</v>
      </c>
      <c r="PY6" s="1">
        <v>2</v>
      </c>
      <c r="PZ6" s="1">
        <v>2</v>
      </c>
      <c r="QA6" s="1">
        <v>2</v>
      </c>
      <c r="QB6" s="1">
        <v>1</v>
      </c>
      <c r="QC6" s="1">
        <v>1</v>
      </c>
      <c r="QD6" s="1">
        <v>0</v>
      </c>
      <c r="QE6" s="1">
        <v>0</v>
      </c>
      <c r="QF6" s="1">
        <v>0</v>
      </c>
      <c r="QG6" s="1">
        <v>0</v>
      </c>
      <c r="QH6" s="1">
        <v>0</v>
      </c>
      <c r="QI6" s="1">
        <v>0</v>
      </c>
      <c r="QJ6" s="1">
        <v>0</v>
      </c>
      <c r="QK6" s="1">
        <v>1</v>
      </c>
      <c r="QL6" s="1">
        <v>0</v>
      </c>
      <c r="QM6" s="1">
        <v>0</v>
      </c>
      <c r="QN6" s="1">
        <v>0</v>
      </c>
      <c r="QO6" s="1">
        <v>0</v>
      </c>
      <c r="QP6" s="1">
        <v>0</v>
      </c>
      <c r="QQ6" s="1">
        <v>0</v>
      </c>
      <c r="QR6" s="1">
        <v>0</v>
      </c>
      <c r="QS6" s="1">
        <v>0</v>
      </c>
      <c r="QT6" s="1">
        <v>0</v>
      </c>
      <c r="QU6" s="1">
        <v>0</v>
      </c>
      <c r="QV6" s="1">
        <v>0</v>
      </c>
      <c r="QW6" s="1">
        <v>4</v>
      </c>
      <c r="QX6" s="1">
        <v>2</v>
      </c>
      <c r="QY6" s="1">
        <v>1</v>
      </c>
      <c r="QZ6" s="1">
        <v>0</v>
      </c>
      <c r="RA6" s="1">
        <v>0</v>
      </c>
      <c r="RB6" s="1">
        <v>0</v>
      </c>
      <c r="RC6" s="1">
        <v>9</v>
      </c>
      <c r="RD6" s="1">
        <v>1</v>
      </c>
      <c r="RE6" s="1">
        <v>0</v>
      </c>
      <c r="RF6" s="1">
        <v>0</v>
      </c>
      <c r="RG6" s="1">
        <v>0</v>
      </c>
      <c r="RH6" s="1">
        <v>0</v>
      </c>
      <c r="RI6" s="1">
        <v>0</v>
      </c>
      <c r="RJ6" s="1">
        <v>0</v>
      </c>
      <c r="RK6" s="1">
        <v>0</v>
      </c>
      <c r="RL6" s="1">
        <v>4</v>
      </c>
      <c r="RM6" s="1">
        <v>2</v>
      </c>
      <c r="RN6" s="1">
        <v>0</v>
      </c>
      <c r="RO6" s="1">
        <v>0</v>
      </c>
      <c r="RP6" s="1">
        <v>0</v>
      </c>
      <c r="RQ6" s="1">
        <v>0</v>
      </c>
      <c r="RR6" s="1">
        <v>0</v>
      </c>
      <c r="RS6" s="1">
        <v>0</v>
      </c>
      <c r="RT6" s="1">
        <v>0</v>
      </c>
      <c r="RU6" s="1">
        <v>0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1</v>
      </c>
      <c r="SC6" s="1">
        <v>0</v>
      </c>
      <c r="SD6" s="1">
        <v>0</v>
      </c>
      <c r="SE6" s="1">
        <v>0</v>
      </c>
      <c r="SF6" s="1">
        <v>0</v>
      </c>
      <c r="SG6" s="1">
        <v>0</v>
      </c>
      <c r="SH6" s="1">
        <v>0</v>
      </c>
      <c r="SI6" s="1">
        <v>0</v>
      </c>
      <c r="SJ6" s="1">
        <v>0</v>
      </c>
      <c r="SK6" s="1">
        <v>10</v>
      </c>
      <c r="SL6" s="1">
        <v>1</v>
      </c>
      <c r="SM6" s="1">
        <v>0</v>
      </c>
      <c r="SN6" s="1">
        <v>0</v>
      </c>
      <c r="SO6" s="1">
        <v>0</v>
      </c>
      <c r="SP6" s="1">
        <v>0</v>
      </c>
      <c r="SQ6" s="1">
        <v>0</v>
      </c>
      <c r="SR6" s="1">
        <v>0</v>
      </c>
      <c r="SS6" s="1">
        <v>0</v>
      </c>
      <c r="ST6" s="1">
        <v>0</v>
      </c>
      <c r="SU6" s="1">
        <v>0</v>
      </c>
      <c r="SV6" s="1">
        <v>0</v>
      </c>
      <c r="SW6" s="1">
        <v>12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</v>
      </c>
      <c r="TF6" s="1">
        <v>0</v>
      </c>
      <c r="TG6" s="1">
        <v>0</v>
      </c>
      <c r="TH6" s="1">
        <v>0</v>
      </c>
      <c r="TI6" s="1">
        <v>0</v>
      </c>
      <c r="TJ6" s="1">
        <v>0</v>
      </c>
      <c r="TK6" s="1">
        <v>0</v>
      </c>
      <c r="TL6" s="1">
        <v>0</v>
      </c>
      <c r="TM6" s="1">
        <v>0</v>
      </c>
      <c r="TN6" s="1">
        <v>0</v>
      </c>
      <c r="TO6" s="1">
        <v>0</v>
      </c>
      <c r="TP6" s="1">
        <v>0</v>
      </c>
      <c r="TQ6" s="1">
        <v>0</v>
      </c>
      <c r="TR6" s="1">
        <v>0</v>
      </c>
      <c r="TS6" s="1">
        <v>0</v>
      </c>
      <c r="TT6" s="1">
        <v>0</v>
      </c>
      <c r="TU6" s="1">
        <v>0</v>
      </c>
      <c r="TV6" s="1">
        <v>0</v>
      </c>
      <c r="TW6" s="1">
        <v>0</v>
      </c>
      <c r="TX6" s="1">
        <v>0</v>
      </c>
      <c r="TY6" s="1">
        <v>0</v>
      </c>
      <c r="TZ6" s="1">
        <v>0</v>
      </c>
      <c r="UA6" s="1">
        <v>0</v>
      </c>
      <c r="UB6" s="1">
        <v>0</v>
      </c>
      <c r="UC6" s="1">
        <v>0</v>
      </c>
      <c r="UD6" s="1">
        <v>0</v>
      </c>
      <c r="UE6" s="1">
        <v>0</v>
      </c>
      <c r="UF6" s="1">
        <v>0</v>
      </c>
      <c r="UG6" s="1">
        <v>0</v>
      </c>
      <c r="UH6" s="1">
        <v>0</v>
      </c>
      <c r="UI6" s="1">
        <v>0</v>
      </c>
      <c r="UJ6" s="1">
        <v>0</v>
      </c>
      <c r="UK6" s="1">
        <v>0</v>
      </c>
      <c r="UL6" s="1">
        <v>1</v>
      </c>
      <c r="UM6" s="1">
        <v>0</v>
      </c>
      <c r="UN6" s="1">
        <v>0</v>
      </c>
      <c r="UO6" s="1">
        <v>0</v>
      </c>
      <c r="UP6" s="1">
        <v>0</v>
      </c>
      <c r="UQ6" s="1">
        <v>0</v>
      </c>
      <c r="UR6" s="1">
        <v>0</v>
      </c>
      <c r="US6" s="1">
        <v>0</v>
      </c>
      <c r="UT6" s="1">
        <v>0</v>
      </c>
      <c r="UU6" s="1">
        <v>0</v>
      </c>
      <c r="UV6" s="1">
        <v>0</v>
      </c>
      <c r="UW6" s="1">
        <v>0</v>
      </c>
      <c r="UX6" s="1">
        <v>3</v>
      </c>
      <c r="UY6" s="1">
        <v>0</v>
      </c>
      <c r="UZ6" s="1">
        <v>0</v>
      </c>
      <c r="VA6" s="1">
        <v>0</v>
      </c>
      <c r="VB6" s="1">
        <v>0</v>
      </c>
      <c r="VC6" s="1">
        <v>0</v>
      </c>
      <c r="VD6" s="1">
        <v>0</v>
      </c>
      <c r="VE6" s="1">
        <v>0</v>
      </c>
      <c r="VF6" s="1">
        <v>0</v>
      </c>
      <c r="VG6" s="1">
        <v>0</v>
      </c>
      <c r="VH6" s="1">
        <v>0</v>
      </c>
      <c r="VI6" s="1">
        <v>0</v>
      </c>
      <c r="VJ6" s="1">
        <v>0</v>
      </c>
      <c r="VK6" s="1">
        <v>0</v>
      </c>
      <c r="VL6" s="1">
        <v>0</v>
      </c>
      <c r="VM6" s="1">
        <v>0</v>
      </c>
      <c r="VN6" s="1">
        <v>0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2</v>
      </c>
      <c r="WD6" s="1">
        <v>0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</v>
      </c>
      <c r="WL6" s="1">
        <v>0</v>
      </c>
      <c r="WM6" s="1">
        <v>0</v>
      </c>
      <c r="WN6" s="1">
        <v>0</v>
      </c>
      <c r="WO6" s="1">
        <v>0</v>
      </c>
      <c r="WP6" s="1">
        <v>0</v>
      </c>
      <c r="WQ6" s="1">
        <v>0</v>
      </c>
      <c r="WR6" s="1">
        <v>0</v>
      </c>
      <c r="WS6" s="1">
        <v>0</v>
      </c>
      <c r="WT6" s="1">
        <v>0</v>
      </c>
      <c r="WU6" s="1">
        <v>0</v>
      </c>
      <c r="WV6" s="1">
        <v>0</v>
      </c>
      <c r="WW6" s="1">
        <v>0</v>
      </c>
      <c r="WX6" s="1">
        <v>3</v>
      </c>
      <c r="WY6" s="1">
        <v>1</v>
      </c>
      <c r="WZ6" s="1">
        <v>0</v>
      </c>
      <c r="XA6" s="1">
        <v>0</v>
      </c>
      <c r="XB6" s="1">
        <v>0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</v>
      </c>
      <c r="XJ6" s="1">
        <v>0</v>
      </c>
      <c r="XK6" s="1">
        <v>0</v>
      </c>
      <c r="XL6" s="1">
        <v>0</v>
      </c>
      <c r="XM6" s="1">
        <v>0</v>
      </c>
      <c r="XN6" s="1">
        <v>0</v>
      </c>
      <c r="XO6" s="1">
        <v>0</v>
      </c>
      <c r="XP6" s="1">
        <v>0</v>
      </c>
      <c r="XQ6" s="1">
        <v>0</v>
      </c>
      <c r="XR6" s="1">
        <v>0</v>
      </c>
      <c r="XS6" s="1">
        <v>0</v>
      </c>
      <c r="XT6" s="1">
        <v>0</v>
      </c>
      <c r="XU6" s="1">
        <v>0</v>
      </c>
      <c r="XV6" s="1">
        <v>0</v>
      </c>
      <c r="XW6" s="1">
        <v>0</v>
      </c>
      <c r="XX6" s="1">
        <v>0</v>
      </c>
      <c r="XY6" s="1">
        <v>0</v>
      </c>
      <c r="XZ6" s="1">
        <v>0</v>
      </c>
      <c r="YA6" s="1">
        <v>0</v>
      </c>
      <c r="YB6" s="1">
        <v>1</v>
      </c>
      <c r="YC6" s="1">
        <v>1</v>
      </c>
      <c r="YD6" s="1">
        <v>0</v>
      </c>
      <c r="YE6" s="1">
        <v>0</v>
      </c>
      <c r="YF6" s="1">
        <v>0</v>
      </c>
      <c r="YG6" s="1">
        <v>0</v>
      </c>
      <c r="YH6" s="1">
        <v>0</v>
      </c>
      <c r="YI6" s="1">
        <v>0</v>
      </c>
      <c r="YJ6" s="1">
        <v>0</v>
      </c>
      <c r="YK6" s="1">
        <v>0</v>
      </c>
      <c r="YL6" s="1">
        <v>0</v>
      </c>
      <c r="YM6" s="1">
        <v>0</v>
      </c>
      <c r="YN6" s="1">
        <v>0</v>
      </c>
      <c r="YO6" s="1">
        <v>0</v>
      </c>
      <c r="YP6" s="1">
        <v>0</v>
      </c>
      <c r="YQ6" s="1">
        <v>0</v>
      </c>
      <c r="YR6" s="1">
        <v>0</v>
      </c>
      <c r="YS6" s="1">
        <v>0</v>
      </c>
      <c r="YT6" s="1">
        <v>0</v>
      </c>
      <c r="YU6" s="1">
        <v>0</v>
      </c>
      <c r="YV6" s="1">
        <v>0</v>
      </c>
      <c r="YW6" s="1">
        <v>0</v>
      </c>
      <c r="YX6" s="1">
        <v>0</v>
      </c>
      <c r="YY6" s="1">
        <v>0</v>
      </c>
      <c r="YZ6" s="1">
        <v>3</v>
      </c>
      <c r="ZA6" s="1">
        <v>0</v>
      </c>
      <c r="ZB6" s="1">
        <v>0</v>
      </c>
      <c r="ZC6" s="1">
        <v>0</v>
      </c>
      <c r="ZD6" s="1">
        <v>0</v>
      </c>
      <c r="ZE6" s="1">
        <v>0</v>
      </c>
      <c r="ZF6" s="1">
        <v>0</v>
      </c>
      <c r="ZG6" s="1">
        <v>0</v>
      </c>
      <c r="ZH6" s="1">
        <v>0</v>
      </c>
      <c r="ZI6" s="1">
        <v>0</v>
      </c>
      <c r="ZJ6" s="1">
        <v>0</v>
      </c>
      <c r="ZK6" s="1">
        <v>0</v>
      </c>
      <c r="ZL6" s="1">
        <v>0</v>
      </c>
      <c r="ZM6" s="1">
        <v>0</v>
      </c>
      <c r="ZN6" s="1">
        <v>0</v>
      </c>
      <c r="ZO6" s="1">
        <v>0</v>
      </c>
      <c r="ZP6" s="1">
        <v>0</v>
      </c>
      <c r="ZQ6" s="1">
        <v>4</v>
      </c>
      <c r="ZR6" s="1">
        <v>0</v>
      </c>
      <c r="ZS6" s="1">
        <v>0</v>
      </c>
      <c r="ZT6" s="1">
        <v>0</v>
      </c>
      <c r="ZU6" s="1">
        <v>0</v>
      </c>
      <c r="ZV6" s="1">
        <v>0</v>
      </c>
      <c r="ZW6" s="1">
        <v>0</v>
      </c>
      <c r="ZX6" s="1">
        <v>0</v>
      </c>
      <c r="ZY6" s="1">
        <v>0</v>
      </c>
      <c r="ZZ6" s="1">
        <v>0</v>
      </c>
      <c r="AAA6" s="1">
        <v>0</v>
      </c>
      <c r="AAB6" s="1">
        <v>0</v>
      </c>
      <c r="AAC6" s="1">
        <v>0</v>
      </c>
      <c r="AAD6" s="1">
        <v>0</v>
      </c>
      <c r="AAE6" s="1">
        <v>0</v>
      </c>
      <c r="AAF6" s="1">
        <v>0</v>
      </c>
      <c r="AAG6" s="1">
        <v>0</v>
      </c>
      <c r="AAH6" s="1">
        <v>0</v>
      </c>
      <c r="AAI6" s="1">
        <v>2</v>
      </c>
      <c r="AAJ6" s="1">
        <v>0</v>
      </c>
      <c r="AAK6" s="1">
        <v>0</v>
      </c>
      <c r="AAL6" s="1">
        <v>0</v>
      </c>
      <c r="AAM6" s="1">
        <v>0</v>
      </c>
      <c r="AAN6" s="1">
        <v>0</v>
      </c>
      <c r="AAO6" s="1">
        <v>0</v>
      </c>
      <c r="AAP6" s="1">
        <v>0</v>
      </c>
      <c r="AAQ6" s="1">
        <v>0</v>
      </c>
      <c r="AAR6" s="1">
        <v>0</v>
      </c>
      <c r="AAS6" s="1">
        <v>0</v>
      </c>
      <c r="AAT6" s="1">
        <v>0</v>
      </c>
      <c r="AAU6" s="1">
        <v>0</v>
      </c>
      <c r="AAV6" s="1">
        <v>0</v>
      </c>
      <c r="AAW6" s="1">
        <v>0</v>
      </c>
      <c r="AAX6" s="1">
        <v>0</v>
      </c>
      <c r="AAY6" s="1">
        <v>0</v>
      </c>
      <c r="AAZ6" s="1">
        <v>0</v>
      </c>
      <c r="ABA6" s="1">
        <v>0</v>
      </c>
      <c r="ABB6" s="1">
        <v>0</v>
      </c>
      <c r="ABC6" s="1">
        <v>0</v>
      </c>
      <c r="ABD6" s="1">
        <v>0</v>
      </c>
      <c r="ABE6" s="1">
        <v>0</v>
      </c>
      <c r="ABF6" s="1">
        <v>0</v>
      </c>
      <c r="ABG6" s="1">
        <v>0</v>
      </c>
      <c r="ABH6" s="1">
        <v>0</v>
      </c>
      <c r="ABI6" s="1">
        <v>0</v>
      </c>
      <c r="ABJ6" s="1">
        <v>0</v>
      </c>
      <c r="ABK6" s="1">
        <v>0</v>
      </c>
      <c r="ABL6" s="1">
        <v>0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 s="1">
        <v>0</v>
      </c>
      <c r="ABS6" s="1">
        <v>0</v>
      </c>
      <c r="ABT6" s="1">
        <v>0</v>
      </c>
      <c r="ABU6" s="1">
        <v>0</v>
      </c>
      <c r="ABV6" s="1">
        <v>0</v>
      </c>
      <c r="ABW6" s="1">
        <v>0</v>
      </c>
      <c r="ABX6" s="1">
        <v>0</v>
      </c>
      <c r="ABY6" s="1">
        <v>0</v>
      </c>
      <c r="ABZ6" s="1">
        <v>0</v>
      </c>
      <c r="ACA6" s="1">
        <v>0</v>
      </c>
      <c r="ACB6" s="1">
        <v>0</v>
      </c>
      <c r="ACC6" s="1">
        <v>0</v>
      </c>
    </row>
    <row r="7" spans="1:757">
      <c r="A7" s="1" t="s">
        <v>771</v>
      </c>
      <c r="B7" s="1" t="s">
        <v>801</v>
      </c>
      <c r="C7" s="1" t="s">
        <v>788</v>
      </c>
      <c r="D7" s="1" t="s">
        <v>685</v>
      </c>
      <c r="E7" s="1" t="s">
        <v>685</v>
      </c>
      <c r="F7" s="1" t="s">
        <v>3034</v>
      </c>
      <c r="G7" s="77">
        <f t="shared" si="0"/>
        <v>135185</v>
      </c>
      <c r="H7" s="1">
        <v>105755</v>
      </c>
      <c r="I7" s="1">
        <v>5032</v>
      </c>
      <c r="J7" s="1">
        <v>38</v>
      </c>
      <c r="K7" s="1">
        <v>204</v>
      </c>
      <c r="L7" s="1">
        <v>0</v>
      </c>
      <c r="M7" s="1">
        <v>1024</v>
      </c>
      <c r="N7" s="1">
        <v>0</v>
      </c>
      <c r="O7" s="1">
        <v>6926</v>
      </c>
      <c r="P7" s="1">
        <v>7504</v>
      </c>
      <c r="Q7" s="1">
        <v>1</v>
      </c>
      <c r="R7" s="1">
        <v>2</v>
      </c>
      <c r="S7" s="1">
        <v>8</v>
      </c>
      <c r="T7" s="1">
        <v>11</v>
      </c>
      <c r="U7" s="1">
        <v>111</v>
      </c>
      <c r="V7" s="1">
        <v>0</v>
      </c>
      <c r="W7" s="1">
        <v>0</v>
      </c>
      <c r="X7" s="1">
        <v>0</v>
      </c>
      <c r="Y7" s="1">
        <v>761</v>
      </c>
      <c r="Z7" s="1">
        <v>0</v>
      </c>
      <c r="AA7" s="1">
        <v>0</v>
      </c>
      <c r="AB7" s="1">
        <v>0</v>
      </c>
      <c r="AC7" s="1">
        <v>94</v>
      </c>
      <c r="AD7" s="1">
        <v>12</v>
      </c>
      <c r="AE7" s="1">
        <v>0</v>
      </c>
      <c r="AF7" s="1">
        <v>405</v>
      </c>
      <c r="AG7" s="1">
        <v>0</v>
      </c>
      <c r="AH7" s="1">
        <v>665</v>
      </c>
      <c r="AI7" s="1">
        <v>0</v>
      </c>
      <c r="AJ7" s="1">
        <v>0</v>
      </c>
      <c r="AK7" s="1">
        <v>1</v>
      </c>
      <c r="AL7" s="1">
        <v>0</v>
      </c>
      <c r="AM7" s="1">
        <v>0</v>
      </c>
      <c r="AN7" s="1">
        <v>0</v>
      </c>
      <c r="AO7" s="1">
        <v>1</v>
      </c>
      <c r="AP7" s="1">
        <v>0</v>
      </c>
      <c r="AQ7" s="1">
        <v>1</v>
      </c>
      <c r="AR7" s="1">
        <v>405</v>
      </c>
      <c r="AS7" s="1">
        <v>0</v>
      </c>
      <c r="AT7" s="1">
        <v>12</v>
      </c>
      <c r="AU7" s="1">
        <v>0</v>
      </c>
      <c r="AV7" s="1">
        <v>716</v>
      </c>
      <c r="AW7" s="1">
        <v>2</v>
      </c>
      <c r="AX7" s="1">
        <v>9</v>
      </c>
      <c r="AY7" s="1">
        <v>0</v>
      </c>
      <c r="AZ7" s="1">
        <v>5</v>
      </c>
      <c r="BA7" s="1">
        <v>15</v>
      </c>
      <c r="BB7" s="1">
        <v>0</v>
      </c>
      <c r="BC7" s="1">
        <v>238</v>
      </c>
      <c r="BD7" s="1">
        <v>0</v>
      </c>
      <c r="BE7" s="1">
        <v>2</v>
      </c>
      <c r="BF7" s="1">
        <v>0</v>
      </c>
      <c r="BG7" s="1">
        <v>139</v>
      </c>
      <c r="BH7" s="1">
        <v>0</v>
      </c>
      <c r="BI7" s="1">
        <v>38</v>
      </c>
      <c r="BJ7" s="1">
        <v>306</v>
      </c>
      <c r="BK7" s="1">
        <v>20</v>
      </c>
      <c r="BL7" s="1">
        <v>0</v>
      </c>
      <c r="BM7" s="1">
        <v>0</v>
      </c>
      <c r="BN7" s="1">
        <v>0</v>
      </c>
      <c r="BO7" s="1">
        <v>0</v>
      </c>
      <c r="BP7" s="1">
        <v>284</v>
      </c>
      <c r="BQ7" s="1">
        <v>597</v>
      </c>
      <c r="BR7" s="1">
        <v>600</v>
      </c>
      <c r="BS7" s="1">
        <v>6</v>
      </c>
      <c r="BT7" s="1">
        <v>5</v>
      </c>
      <c r="BU7" s="1">
        <v>0</v>
      </c>
      <c r="BV7" s="1">
        <v>6</v>
      </c>
      <c r="BW7" s="1">
        <v>16</v>
      </c>
      <c r="BX7" s="1">
        <v>0</v>
      </c>
      <c r="BY7" s="1">
        <v>23</v>
      </c>
      <c r="BZ7" s="1">
        <v>648</v>
      </c>
      <c r="CA7" s="1">
        <v>10</v>
      </c>
      <c r="CB7" s="1">
        <v>0</v>
      </c>
      <c r="CC7" s="1">
        <v>381</v>
      </c>
      <c r="CD7" s="1">
        <v>0</v>
      </c>
      <c r="CE7" s="1">
        <v>0</v>
      </c>
      <c r="CF7" s="1">
        <v>0</v>
      </c>
      <c r="CG7" s="1">
        <v>0</v>
      </c>
      <c r="CH7" s="1">
        <v>2</v>
      </c>
      <c r="CI7" s="1">
        <v>167</v>
      </c>
      <c r="CJ7" s="1">
        <v>11</v>
      </c>
      <c r="CK7" s="1">
        <v>1</v>
      </c>
      <c r="CL7" s="1">
        <v>0</v>
      </c>
      <c r="CM7" s="1">
        <v>3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9</v>
      </c>
      <c r="CT7" s="1">
        <v>0</v>
      </c>
      <c r="CU7" s="1">
        <v>0</v>
      </c>
      <c r="CV7" s="1">
        <v>0</v>
      </c>
      <c r="CW7" s="1">
        <v>22</v>
      </c>
      <c r="CX7" s="1">
        <v>0</v>
      </c>
      <c r="CY7" s="1">
        <v>1</v>
      </c>
      <c r="CZ7" s="1">
        <v>58</v>
      </c>
      <c r="DA7" s="1">
        <v>4</v>
      </c>
      <c r="DB7" s="1">
        <v>0</v>
      </c>
      <c r="DC7" s="1">
        <v>0</v>
      </c>
      <c r="DD7" s="1">
        <v>0</v>
      </c>
      <c r="DE7" s="1">
        <v>164</v>
      </c>
      <c r="DF7" s="1">
        <v>0</v>
      </c>
      <c r="DG7" s="1">
        <v>2</v>
      </c>
      <c r="DH7" s="1">
        <v>1</v>
      </c>
      <c r="DI7" s="1">
        <v>1</v>
      </c>
      <c r="DJ7" s="1">
        <v>0</v>
      </c>
      <c r="DK7" s="1">
        <v>3</v>
      </c>
      <c r="DL7" s="1">
        <v>198</v>
      </c>
      <c r="DM7" s="1">
        <v>0</v>
      </c>
      <c r="DN7" s="1">
        <v>0</v>
      </c>
      <c r="DO7" s="1">
        <v>1</v>
      </c>
      <c r="DP7" s="1">
        <v>8</v>
      </c>
      <c r="DQ7" s="1">
        <v>0</v>
      </c>
      <c r="DR7" s="1">
        <v>7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17</v>
      </c>
      <c r="DZ7" s="1">
        <v>0</v>
      </c>
      <c r="EA7" s="1">
        <v>0</v>
      </c>
      <c r="EB7" s="1">
        <v>0</v>
      </c>
      <c r="EC7" s="1">
        <v>0</v>
      </c>
      <c r="ED7" s="1">
        <v>1</v>
      </c>
      <c r="EE7" s="1">
        <v>8</v>
      </c>
      <c r="EF7" s="1">
        <v>5</v>
      </c>
      <c r="EG7" s="1">
        <v>0</v>
      </c>
      <c r="EH7" s="1">
        <v>1</v>
      </c>
      <c r="EI7" s="1">
        <v>2</v>
      </c>
      <c r="EJ7" s="1">
        <v>1</v>
      </c>
      <c r="EK7" s="1">
        <v>0</v>
      </c>
      <c r="EL7" s="1">
        <v>0</v>
      </c>
      <c r="EM7" s="1">
        <v>0</v>
      </c>
      <c r="EN7" s="1">
        <v>0</v>
      </c>
      <c r="EO7" s="1">
        <v>220</v>
      </c>
      <c r="EP7" s="1">
        <v>2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47</v>
      </c>
      <c r="EW7" s="1">
        <v>4</v>
      </c>
      <c r="EX7" s="1">
        <v>0</v>
      </c>
      <c r="EY7" s="1">
        <v>3</v>
      </c>
      <c r="EZ7" s="1">
        <v>0</v>
      </c>
      <c r="FA7" s="1">
        <v>6</v>
      </c>
      <c r="FB7" s="1">
        <v>2</v>
      </c>
      <c r="FC7" s="1">
        <v>0</v>
      </c>
      <c r="FD7" s="1">
        <v>1</v>
      </c>
      <c r="FE7" s="1">
        <v>0</v>
      </c>
      <c r="FF7" s="1">
        <v>26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10</v>
      </c>
      <c r="FP7" s="1">
        <v>0</v>
      </c>
      <c r="FQ7" s="1">
        <v>0</v>
      </c>
      <c r="FR7" s="1">
        <v>0</v>
      </c>
      <c r="FS7" s="1">
        <v>202</v>
      </c>
      <c r="FT7" s="1">
        <v>0</v>
      </c>
      <c r="FU7" s="1">
        <v>0</v>
      </c>
      <c r="FV7" s="1">
        <v>7</v>
      </c>
      <c r="FW7" s="1">
        <v>0</v>
      </c>
      <c r="FX7" s="1">
        <v>0</v>
      </c>
      <c r="FY7" s="1">
        <v>4</v>
      </c>
      <c r="FZ7" s="1">
        <v>0</v>
      </c>
      <c r="GA7" s="1">
        <v>5</v>
      </c>
      <c r="GB7" s="1">
        <v>0</v>
      </c>
      <c r="GC7" s="1">
        <v>2</v>
      </c>
      <c r="GD7" s="1">
        <v>0</v>
      </c>
      <c r="GE7" s="1">
        <v>0</v>
      </c>
      <c r="GF7" s="1">
        <v>6</v>
      </c>
      <c r="GG7" s="1">
        <v>0</v>
      </c>
      <c r="GH7" s="1">
        <v>8</v>
      </c>
      <c r="GI7" s="1">
        <v>0</v>
      </c>
      <c r="GJ7" s="1">
        <v>1</v>
      </c>
      <c r="GK7" s="1">
        <v>3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11</v>
      </c>
      <c r="GT7" s="1">
        <v>14</v>
      </c>
      <c r="GU7" s="1">
        <v>0</v>
      </c>
      <c r="GV7" s="1">
        <v>4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132</v>
      </c>
      <c r="HC7" s="1">
        <v>0</v>
      </c>
      <c r="HD7" s="1">
        <v>0</v>
      </c>
      <c r="HE7" s="1">
        <v>5</v>
      </c>
      <c r="HF7" s="1">
        <v>44</v>
      </c>
      <c r="HG7" s="1">
        <v>0</v>
      </c>
      <c r="HH7" s="1">
        <v>7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31</v>
      </c>
      <c r="HV7" s="1">
        <v>0</v>
      </c>
      <c r="HW7" s="1">
        <v>0</v>
      </c>
      <c r="HX7" s="1">
        <v>4</v>
      </c>
      <c r="HY7" s="1">
        <v>0</v>
      </c>
      <c r="HZ7" s="1">
        <v>0</v>
      </c>
      <c r="IA7" s="1">
        <v>1</v>
      </c>
      <c r="IB7" s="1">
        <v>0</v>
      </c>
      <c r="IC7" s="1">
        <v>0</v>
      </c>
      <c r="ID7" s="1">
        <v>0</v>
      </c>
      <c r="IE7" s="1">
        <v>0</v>
      </c>
      <c r="IF7" s="1">
        <v>40</v>
      </c>
      <c r="IG7" s="1">
        <v>0</v>
      </c>
      <c r="IH7" s="1">
        <v>8</v>
      </c>
      <c r="II7" s="1">
        <v>0</v>
      </c>
      <c r="IJ7" s="1">
        <v>3</v>
      </c>
      <c r="IK7" s="1">
        <v>0</v>
      </c>
      <c r="IL7" s="1">
        <v>2</v>
      </c>
      <c r="IM7" s="1">
        <v>2</v>
      </c>
      <c r="IN7" s="1">
        <v>0</v>
      </c>
      <c r="IO7" s="1">
        <v>0</v>
      </c>
      <c r="IP7" s="1">
        <v>3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4</v>
      </c>
      <c r="IW7" s="1">
        <v>0</v>
      </c>
      <c r="IX7" s="1">
        <v>9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3</v>
      </c>
      <c r="JG7" s="1">
        <v>23</v>
      </c>
      <c r="JH7" s="1">
        <v>0</v>
      </c>
      <c r="JI7" s="1">
        <v>0</v>
      </c>
      <c r="JJ7" s="1">
        <v>0</v>
      </c>
      <c r="JK7" s="1">
        <v>0</v>
      </c>
      <c r="JL7" s="1">
        <v>4</v>
      </c>
      <c r="JM7" s="1">
        <v>0</v>
      </c>
      <c r="JN7" s="1">
        <v>2</v>
      </c>
      <c r="JO7" s="1">
        <v>4</v>
      </c>
      <c r="JP7" s="1">
        <v>0</v>
      </c>
      <c r="JQ7" s="1">
        <v>0</v>
      </c>
      <c r="JR7" s="1">
        <v>0</v>
      </c>
      <c r="JS7" s="1">
        <v>24</v>
      </c>
      <c r="JT7" s="1">
        <v>1</v>
      </c>
      <c r="JU7" s="1">
        <v>0</v>
      </c>
      <c r="JV7" s="1">
        <v>0</v>
      </c>
      <c r="JW7" s="1">
        <v>0</v>
      </c>
      <c r="JX7" s="1">
        <v>0</v>
      </c>
      <c r="JY7" s="1">
        <v>1</v>
      </c>
      <c r="JZ7" s="1">
        <v>0</v>
      </c>
      <c r="KA7" s="1">
        <v>0</v>
      </c>
      <c r="KB7" s="1">
        <v>1</v>
      </c>
      <c r="KC7" s="1">
        <v>0</v>
      </c>
      <c r="KD7" s="1">
        <v>0</v>
      </c>
      <c r="KE7" s="1">
        <v>2</v>
      </c>
      <c r="KF7" s="1">
        <v>0</v>
      </c>
      <c r="KG7" s="1">
        <v>0</v>
      </c>
      <c r="KH7" s="1">
        <v>0</v>
      </c>
      <c r="KI7" s="1">
        <v>0</v>
      </c>
      <c r="KJ7" s="1">
        <v>31</v>
      </c>
      <c r="KK7" s="1">
        <v>0</v>
      </c>
      <c r="KL7" s="1">
        <v>0</v>
      </c>
      <c r="KM7" s="1">
        <v>18</v>
      </c>
      <c r="KN7" s="1">
        <v>8</v>
      </c>
      <c r="KO7" s="1">
        <v>0</v>
      </c>
      <c r="KP7" s="1">
        <v>0</v>
      </c>
      <c r="KQ7" s="1">
        <v>16</v>
      </c>
      <c r="KR7" s="1">
        <v>4</v>
      </c>
      <c r="KS7" s="1">
        <v>3</v>
      </c>
      <c r="KT7" s="1">
        <v>0</v>
      </c>
      <c r="KU7" s="1">
        <v>0</v>
      </c>
      <c r="KV7" s="1">
        <v>5</v>
      </c>
      <c r="KW7" s="1">
        <v>0</v>
      </c>
      <c r="KX7" s="1">
        <v>5</v>
      </c>
      <c r="KY7" s="1">
        <v>1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3</v>
      </c>
      <c r="LF7" s="1">
        <v>2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1</v>
      </c>
      <c r="LN7" s="1">
        <v>56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12</v>
      </c>
      <c r="ME7" s="1">
        <v>0</v>
      </c>
      <c r="MF7" s="1">
        <v>0</v>
      </c>
      <c r="MG7" s="1">
        <v>0</v>
      </c>
      <c r="MH7" s="1">
        <v>0</v>
      </c>
      <c r="MI7" s="1">
        <v>1</v>
      </c>
      <c r="MJ7" s="1">
        <v>0</v>
      </c>
      <c r="MK7" s="1">
        <v>0</v>
      </c>
      <c r="ML7" s="1">
        <v>0</v>
      </c>
      <c r="MM7" s="1">
        <v>0</v>
      </c>
      <c r="MN7" s="1">
        <v>2</v>
      </c>
      <c r="MO7" s="1">
        <v>2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1</v>
      </c>
      <c r="MV7" s="1">
        <v>40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1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0</v>
      </c>
      <c r="NO7" s="1">
        <v>1</v>
      </c>
      <c r="NP7" s="1">
        <v>0</v>
      </c>
      <c r="NQ7" s="1">
        <v>0</v>
      </c>
      <c r="NR7" s="1">
        <v>0</v>
      </c>
      <c r="NS7" s="1">
        <v>0</v>
      </c>
      <c r="NT7" s="1">
        <v>2</v>
      </c>
      <c r="NU7" s="1">
        <v>2</v>
      </c>
      <c r="NV7" s="1">
        <v>7</v>
      </c>
      <c r="NW7" s="1">
        <v>2</v>
      </c>
      <c r="NX7" s="1">
        <v>0</v>
      </c>
      <c r="NY7" s="1">
        <v>0</v>
      </c>
      <c r="NZ7" s="1">
        <v>1</v>
      </c>
      <c r="OA7" s="1">
        <v>0</v>
      </c>
      <c r="OB7" s="1">
        <v>0</v>
      </c>
      <c r="OC7" s="1">
        <v>0</v>
      </c>
      <c r="OD7" s="1">
        <v>4</v>
      </c>
      <c r="OE7" s="1">
        <v>2</v>
      </c>
      <c r="OF7" s="1">
        <v>2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5</v>
      </c>
      <c r="ON7" s="1">
        <v>3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5</v>
      </c>
      <c r="OU7" s="1">
        <v>2</v>
      </c>
      <c r="OV7" s="1">
        <v>5</v>
      </c>
      <c r="OW7" s="1">
        <v>1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4</v>
      </c>
      <c r="PD7" s="1">
        <v>3</v>
      </c>
      <c r="PE7" s="1">
        <v>0</v>
      </c>
      <c r="PF7" s="1">
        <v>0</v>
      </c>
      <c r="PG7" s="1">
        <v>0</v>
      </c>
      <c r="PH7" s="1">
        <v>0</v>
      </c>
      <c r="PI7" s="1">
        <v>2</v>
      </c>
      <c r="PJ7" s="1">
        <v>8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0</v>
      </c>
      <c r="PZ7" s="1">
        <v>22</v>
      </c>
      <c r="QA7" s="1">
        <v>0</v>
      </c>
      <c r="QB7" s="1">
        <v>4</v>
      </c>
      <c r="QC7" s="1">
        <v>0</v>
      </c>
      <c r="QD7" s="1">
        <v>1</v>
      </c>
      <c r="QE7" s="1">
        <v>0</v>
      </c>
      <c r="QF7" s="1">
        <v>0</v>
      </c>
      <c r="QG7" s="1">
        <v>0</v>
      </c>
      <c r="QH7" s="1">
        <v>0</v>
      </c>
      <c r="QI7" s="1">
        <v>0</v>
      </c>
      <c r="QJ7" s="1">
        <v>0</v>
      </c>
      <c r="QK7" s="1">
        <v>2</v>
      </c>
      <c r="QL7" s="1">
        <v>4</v>
      </c>
      <c r="QM7" s="1">
        <v>0</v>
      </c>
      <c r="QN7" s="1">
        <v>0</v>
      </c>
      <c r="QO7" s="1">
        <v>0</v>
      </c>
      <c r="QP7" s="1">
        <v>0</v>
      </c>
      <c r="QQ7" s="1">
        <v>0</v>
      </c>
      <c r="QR7" s="1">
        <v>0</v>
      </c>
      <c r="QS7" s="1">
        <v>0</v>
      </c>
      <c r="QT7" s="1">
        <v>0</v>
      </c>
      <c r="QU7" s="1">
        <v>0</v>
      </c>
      <c r="QV7" s="1">
        <v>0</v>
      </c>
      <c r="QW7" s="1">
        <v>0</v>
      </c>
      <c r="QX7" s="1">
        <v>14</v>
      </c>
      <c r="QY7" s="1">
        <v>22</v>
      </c>
      <c r="QZ7" s="1">
        <v>0</v>
      </c>
      <c r="RA7" s="1">
        <v>0</v>
      </c>
      <c r="RB7" s="1">
        <v>0</v>
      </c>
      <c r="RC7" s="1">
        <v>2</v>
      </c>
      <c r="RD7" s="1">
        <v>6</v>
      </c>
      <c r="RE7" s="1">
        <v>2</v>
      </c>
      <c r="RF7" s="1">
        <v>0</v>
      </c>
      <c r="RG7" s="1">
        <v>0</v>
      </c>
      <c r="RH7" s="1">
        <v>0</v>
      </c>
      <c r="RI7" s="1">
        <v>0</v>
      </c>
      <c r="RJ7" s="1">
        <v>0</v>
      </c>
      <c r="RK7" s="1">
        <v>0</v>
      </c>
      <c r="RL7" s="1">
        <v>11</v>
      </c>
      <c r="RM7" s="1">
        <v>0</v>
      </c>
      <c r="RN7" s="1">
        <v>9</v>
      </c>
      <c r="RO7" s="1">
        <v>0</v>
      </c>
      <c r="RP7" s="1">
        <v>0</v>
      </c>
      <c r="RQ7" s="1">
        <v>0</v>
      </c>
      <c r="RR7" s="1">
        <v>0</v>
      </c>
      <c r="RS7" s="1">
        <v>0</v>
      </c>
      <c r="RT7" s="1">
        <v>0</v>
      </c>
      <c r="RU7" s="1">
        <v>7</v>
      </c>
      <c r="RV7" s="1">
        <v>1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2</v>
      </c>
      <c r="SC7" s="1">
        <v>18</v>
      </c>
      <c r="SD7" s="1">
        <v>3</v>
      </c>
      <c r="SE7" s="1">
        <v>1</v>
      </c>
      <c r="SF7" s="1">
        <v>0</v>
      </c>
      <c r="SG7" s="1">
        <v>0</v>
      </c>
      <c r="SH7" s="1">
        <v>0</v>
      </c>
      <c r="SI7" s="1">
        <v>0</v>
      </c>
      <c r="SJ7" s="1">
        <v>0</v>
      </c>
      <c r="SK7" s="1">
        <v>0</v>
      </c>
      <c r="SL7" s="1">
        <v>2</v>
      </c>
      <c r="SM7" s="1">
        <v>6</v>
      </c>
      <c r="SN7" s="1">
        <v>2</v>
      </c>
      <c r="SO7" s="1">
        <v>2</v>
      </c>
      <c r="SP7" s="1">
        <v>2</v>
      </c>
      <c r="SQ7" s="1">
        <v>0</v>
      </c>
      <c r="SR7" s="1">
        <v>0</v>
      </c>
      <c r="SS7" s="1">
        <v>0</v>
      </c>
      <c r="ST7" s="1">
        <v>0</v>
      </c>
      <c r="SU7" s="1">
        <v>0</v>
      </c>
      <c r="SV7" s="1">
        <v>0</v>
      </c>
      <c r="SW7" s="1">
        <v>0</v>
      </c>
      <c r="SX7" s="1">
        <v>1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1</v>
      </c>
      <c r="TH7" s="1">
        <v>1</v>
      </c>
      <c r="TI7" s="1">
        <v>1</v>
      </c>
      <c r="TJ7" s="1">
        <v>0</v>
      </c>
      <c r="TK7" s="1">
        <v>0</v>
      </c>
      <c r="TL7" s="1">
        <v>0</v>
      </c>
      <c r="TM7" s="1">
        <v>0</v>
      </c>
      <c r="TN7" s="1">
        <v>0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1</v>
      </c>
      <c r="TY7" s="1">
        <v>1</v>
      </c>
      <c r="TZ7" s="1">
        <v>0</v>
      </c>
      <c r="UA7" s="1">
        <v>0</v>
      </c>
      <c r="UB7" s="1">
        <v>0</v>
      </c>
      <c r="UC7" s="1">
        <v>0</v>
      </c>
      <c r="UD7" s="1">
        <v>0</v>
      </c>
      <c r="UE7" s="1">
        <v>4</v>
      </c>
      <c r="UF7" s="1">
        <v>1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1</v>
      </c>
      <c r="UN7" s="1">
        <v>1</v>
      </c>
      <c r="UO7" s="1">
        <v>0</v>
      </c>
      <c r="UP7" s="1">
        <v>0</v>
      </c>
      <c r="UQ7" s="1">
        <v>0</v>
      </c>
      <c r="UR7" s="1">
        <v>0</v>
      </c>
      <c r="US7" s="1">
        <v>0</v>
      </c>
      <c r="UT7" s="1">
        <v>0</v>
      </c>
      <c r="UU7" s="1">
        <v>0</v>
      </c>
      <c r="UV7" s="1">
        <v>0</v>
      </c>
      <c r="UW7" s="1">
        <v>0</v>
      </c>
      <c r="UX7" s="1">
        <v>7</v>
      </c>
      <c r="UY7" s="1">
        <v>1</v>
      </c>
      <c r="UZ7" s="1">
        <v>1</v>
      </c>
      <c r="VA7" s="1">
        <v>1</v>
      </c>
      <c r="VB7" s="1">
        <v>0</v>
      </c>
      <c r="VC7" s="1">
        <v>0</v>
      </c>
      <c r="VD7" s="1">
        <v>0</v>
      </c>
      <c r="VE7" s="1">
        <v>0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5</v>
      </c>
      <c r="VO7" s="1">
        <v>4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4</v>
      </c>
      <c r="WD7" s="1">
        <v>1</v>
      </c>
      <c r="WE7" s="1">
        <v>1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  <c r="WM7" s="1">
        <v>0</v>
      </c>
      <c r="WN7" s="1">
        <v>0</v>
      </c>
      <c r="WO7" s="1">
        <v>0</v>
      </c>
      <c r="WP7" s="1">
        <v>0</v>
      </c>
      <c r="WQ7" s="1">
        <v>0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0</v>
      </c>
      <c r="WY7" s="1">
        <v>0</v>
      </c>
      <c r="WZ7" s="1">
        <v>7</v>
      </c>
      <c r="XA7" s="1">
        <v>5</v>
      </c>
      <c r="XB7" s="1">
        <v>2</v>
      </c>
      <c r="XC7" s="1">
        <v>1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</v>
      </c>
      <c r="XJ7" s="1">
        <v>0</v>
      </c>
      <c r="XK7" s="1">
        <v>5</v>
      </c>
      <c r="XL7" s="1">
        <v>1</v>
      </c>
      <c r="XM7" s="1">
        <v>1</v>
      </c>
      <c r="XN7" s="1">
        <v>0</v>
      </c>
      <c r="XO7" s="1">
        <v>0</v>
      </c>
      <c r="XP7" s="1">
        <v>0</v>
      </c>
      <c r="XQ7" s="1">
        <v>0</v>
      </c>
      <c r="XR7" s="1">
        <v>0</v>
      </c>
      <c r="XS7" s="1">
        <v>0</v>
      </c>
      <c r="XT7" s="1">
        <v>0</v>
      </c>
      <c r="XU7" s="1">
        <v>0</v>
      </c>
      <c r="XV7" s="1">
        <v>0</v>
      </c>
      <c r="XW7" s="1">
        <v>0</v>
      </c>
      <c r="XX7" s="1">
        <v>0</v>
      </c>
      <c r="XY7" s="1">
        <v>0</v>
      </c>
      <c r="XZ7" s="1">
        <v>0</v>
      </c>
      <c r="YA7" s="1">
        <v>0</v>
      </c>
      <c r="YB7" s="1">
        <v>0</v>
      </c>
      <c r="YC7" s="1">
        <v>0</v>
      </c>
      <c r="YD7" s="1">
        <v>4</v>
      </c>
      <c r="YE7" s="1">
        <v>1</v>
      </c>
      <c r="YF7" s="1">
        <v>0</v>
      </c>
      <c r="YG7" s="1">
        <v>0</v>
      </c>
      <c r="YH7" s="1">
        <v>0</v>
      </c>
      <c r="YI7" s="1">
        <v>0</v>
      </c>
      <c r="YJ7" s="1">
        <v>0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0</v>
      </c>
      <c r="YQ7" s="1">
        <v>0</v>
      </c>
      <c r="YR7" s="1">
        <v>0</v>
      </c>
      <c r="YS7" s="1">
        <v>0</v>
      </c>
      <c r="YT7" s="1">
        <v>0</v>
      </c>
      <c r="YU7" s="1">
        <v>0</v>
      </c>
      <c r="YV7" s="1">
        <v>0</v>
      </c>
      <c r="YW7" s="1">
        <v>0</v>
      </c>
      <c r="YX7" s="1">
        <v>0</v>
      </c>
      <c r="YY7" s="1">
        <v>0</v>
      </c>
      <c r="YZ7" s="1">
        <v>0</v>
      </c>
      <c r="ZA7" s="1">
        <v>5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0</v>
      </c>
      <c r="ZH7" s="1">
        <v>0</v>
      </c>
      <c r="ZI7" s="1">
        <v>0</v>
      </c>
      <c r="ZJ7" s="1">
        <v>0</v>
      </c>
      <c r="ZK7" s="1">
        <v>0</v>
      </c>
      <c r="ZL7" s="1">
        <v>0</v>
      </c>
      <c r="ZM7" s="1">
        <v>0</v>
      </c>
      <c r="ZN7" s="1">
        <v>0</v>
      </c>
      <c r="ZO7" s="1">
        <v>0</v>
      </c>
      <c r="ZP7" s="1">
        <v>0</v>
      </c>
      <c r="ZQ7" s="1">
        <v>0</v>
      </c>
      <c r="ZR7" s="1">
        <v>3</v>
      </c>
      <c r="ZS7" s="1">
        <v>1</v>
      </c>
      <c r="ZT7" s="1">
        <v>0</v>
      </c>
      <c r="ZU7" s="1">
        <v>0</v>
      </c>
      <c r="ZV7" s="1">
        <v>0</v>
      </c>
      <c r="ZW7" s="1">
        <v>0</v>
      </c>
      <c r="ZX7" s="1">
        <v>0</v>
      </c>
      <c r="ZY7" s="1">
        <v>0</v>
      </c>
      <c r="ZZ7" s="1">
        <v>0</v>
      </c>
      <c r="AAA7" s="1">
        <v>0</v>
      </c>
      <c r="AAB7" s="1">
        <v>0</v>
      </c>
      <c r="AAC7" s="1">
        <v>0</v>
      </c>
      <c r="AAD7" s="1">
        <v>0</v>
      </c>
      <c r="AAE7" s="1">
        <v>0</v>
      </c>
      <c r="AAF7" s="1">
        <v>0</v>
      </c>
      <c r="AAG7" s="1">
        <v>0</v>
      </c>
      <c r="AAH7" s="1">
        <v>0</v>
      </c>
      <c r="AAI7" s="1">
        <v>0</v>
      </c>
      <c r="AAJ7" s="1">
        <v>2</v>
      </c>
      <c r="AAK7" s="1">
        <v>2</v>
      </c>
      <c r="AAL7" s="1">
        <v>0</v>
      </c>
      <c r="AAM7" s="1">
        <v>0</v>
      </c>
      <c r="AAN7" s="1">
        <v>0</v>
      </c>
      <c r="AAO7" s="1">
        <v>0</v>
      </c>
      <c r="AAP7" s="1">
        <v>0</v>
      </c>
      <c r="AAQ7" s="1">
        <v>0</v>
      </c>
      <c r="AAR7" s="1">
        <v>0</v>
      </c>
      <c r="AAS7" s="1">
        <v>0</v>
      </c>
      <c r="AAT7" s="1">
        <v>0</v>
      </c>
      <c r="AAU7" s="1">
        <v>0</v>
      </c>
      <c r="AAV7" s="1">
        <v>0</v>
      </c>
      <c r="AAW7" s="1">
        <v>0</v>
      </c>
      <c r="AAX7" s="1">
        <v>0</v>
      </c>
      <c r="AAY7" s="1">
        <v>0</v>
      </c>
      <c r="AAZ7" s="1">
        <v>0</v>
      </c>
      <c r="ABA7" s="1">
        <v>0</v>
      </c>
      <c r="ABB7" s="1">
        <v>0</v>
      </c>
      <c r="ABC7" s="1">
        <v>0</v>
      </c>
      <c r="ABD7" s="1">
        <v>0</v>
      </c>
      <c r="ABE7" s="1">
        <v>0</v>
      </c>
      <c r="ABF7" s="1">
        <v>0</v>
      </c>
      <c r="ABG7" s="1">
        <v>2</v>
      </c>
      <c r="ABH7" s="1">
        <v>2</v>
      </c>
      <c r="ABI7" s="1">
        <v>0</v>
      </c>
      <c r="ABJ7" s="1">
        <v>0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</v>
      </c>
      <c r="ABQ7" s="1">
        <v>0</v>
      </c>
      <c r="ABR7" s="1">
        <v>0</v>
      </c>
      <c r="ABS7" s="1">
        <v>0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0</v>
      </c>
      <c r="ABZ7" s="1">
        <v>0</v>
      </c>
      <c r="ACA7" s="1">
        <v>0</v>
      </c>
      <c r="ACB7" s="1">
        <v>0</v>
      </c>
      <c r="ACC7" s="1">
        <v>0</v>
      </c>
    </row>
    <row r="8" spans="1:757">
      <c r="A8" s="1" t="s">
        <v>770</v>
      </c>
      <c r="B8" s="1" t="s">
        <v>800</v>
      </c>
      <c r="C8" s="1" t="s">
        <v>788</v>
      </c>
      <c r="D8" s="1" t="s">
        <v>685</v>
      </c>
      <c r="E8" s="1" t="s">
        <v>685</v>
      </c>
      <c r="F8" s="1" t="s">
        <v>3034</v>
      </c>
      <c r="G8" s="77">
        <f t="shared" si="0"/>
        <v>162119</v>
      </c>
      <c r="H8" s="1">
        <v>112943</v>
      </c>
      <c r="I8" s="1">
        <v>45957</v>
      </c>
      <c r="J8" s="1">
        <v>51</v>
      </c>
      <c r="K8" s="1">
        <v>205</v>
      </c>
      <c r="L8" s="1">
        <v>0</v>
      </c>
      <c r="M8" s="1">
        <v>23</v>
      </c>
      <c r="N8" s="1">
        <v>0</v>
      </c>
      <c r="O8" s="1">
        <v>211</v>
      </c>
      <c r="P8" s="1">
        <v>75</v>
      </c>
      <c r="Q8" s="1">
        <v>3</v>
      </c>
      <c r="R8" s="1">
        <v>0</v>
      </c>
      <c r="S8" s="1">
        <v>0</v>
      </c>
      <c r="T8" s="1">
        <v>0</v>
      </c>
      <c r="U8" s="1">
        <v>4</v>
      </c>
      <c r="V8" s="1">
        <v>0</v>
      </c>
      <c r="W8" s="1">
        <v>0</v>
      </c>
      <c r="X8" s="1">
        <v>0</v>
      </c>
      <c r="Y8" s="1">
        <v>24</v>
      </c>
      <c r="Z8" s="1">
        <v>0</v>
      </c>
      <c r="AA8" s="1">
        <v>0</v>
      </c>
      <c r="AB8" s="1">
        <v>0</v>
      </c>
      <c r="AC8" s="1">
        <v>11</v>
      </c>
      <c r="AD8" s="1">
        <v>0</v>
      </c>
      <c r="AE8" s="1">
        <v>0</v>
      </c>
      <c r="AF8" s="1">
        <v>71</v>
      </c>
      <c r="AG8" s="1">
        <v>0</v>
      </c>
      <c r="AH8" s="1">
        <v>95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307</v>
      </c>
      <c r="AS8" s="1">
        <v>0</v>
      </c>
      <c r="AT8" s="1">
        <v>0</v>
      </c>
      <c r="AU8" s="1">
        <v>0</v>
      </c>
      <c r="AV8" s="1">
        <v>210</v>
      </c>
      <c r="AW8" s="1">
        <v>1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284</v>
      </c>
      <c r="BD8" s="1">
        <v>0</v>
      </c>
      <c r="BE8" s="1">
        <v>0</v>
      </c>
      <c r="BF8" s="1">
        <v>0</v>
      </c>
      <c r="BG8" s="1">
        <v>100</v>
      </c>
      <c r="BH8" s="1">
        <v>665</v>
      </c>
      <c r="BI8" s="1">
        <v>1</v>
      </c>
      <c r="BJ8" s="1">
        <v>2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42</v>
      </c>
      <c r="BQ8" s="1">
        <v>76</v>
      </c>
      <c r="BR8" s="1">
        <v>35</v>
      </c>
      <c r="BS8" s="1">
        <v>0</v>
      </c>
      <c r="BT8" s="1">
        <v>0</v>
      </c>
      <c r="BU8" s="1">
        <v>0</v>
      </c>
      <c r="BV8" s="1">
        <v>0</v>
      </c>
      <c r="BW8" s="1">
        <v>3</v>
      </c>
      <c r="BX8" s="1">
        <v>0</v>
      </c>
      <c r="BY8" s="1">
        <v>1</v>
      </c>
      <c r="BZ8" s="1">
        <v>25</v>
      </c>
      <c r="CA8" s="1">
        <v>0</v>
      </c>
      <c r="CB8" s="1">
        <v>0</v>
      </c>
      <c r="CC8" s="1">
        <v>125</v>
      </c>
      <c r="CD8" s="1">
        <v>0</v>
      </c>
      <c r="CE8" s="1">
        <v>140</v>
      </c>
      <c r="CF8" s="1">
        <v>0</v>
      </c>
      <c r="CG8" s="1">
        <v>0</v>
      </c>
      <c r="CH8" s="1">
        <v>0</v>
      </c>
      <c r="CI8" s="1">
        <v>134</v>
      </c>
      <c r="CJ8" s="1">
        <v>1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1</v>
      </c>
      <c r="CS8" s="1">
        <v>1</v>
      </c>
      <c r="CT8" s="1">
        <v>0</v>
      </c>
      <c r="CU8" s="1">
        <v>0</v>
      </c>
      <c r="CV8" s="1">
        <v>0</v>
      </c>
      <c r="CW8" s="1">
        <v>3</v>
      </c>
      <c r="CX8" s="1">
        <v>0</v>
      </c>
      <c r="CY8" s="1">
        <v>0</v>
      </c>
      <c r="CZ8" s="1">
        <v>2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1</v>
      </c>
      <c r="DK8" s="1">
        <v>1</v>
      </c>
      <c r="DL8" s="1">
        <v>0</v>
      </c>
      <c r="DM8" s="1">
        <v>0</v>
      </c>
      <c r="DN8" s="1">
        <v>0</v>
      </c>
      <c r="DO8" s="1">
        <v>0</v>
      </c>
      <c r="DP8" s="1">
        <v>1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3</v>
      </c>
      <c r="EI8" s="1">
        <v>1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9</v>
      </c>
      <c r="EP8" s="1">
        <v>47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2</v>
      </c>
      <c r="EW8" s="1">
        <v>0</v>
      </c>
      <c r="EX8" s="1">
        <v>0</v>
      </c>
      <c r="EY8" s="1">
        <v>0</v>
      </c>
      <c r="EZ8" s="1">
        <v>0</v>
      </c>
      <c r="FA8" s="1">
        <v>45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1</v>
      </c>
      <c r="FO8" s="1">
        <v>1</v>
      </c>
      <c r="FP8" s="1">
        <v>0</v>
      </c>
      <c r="FQ8" s="1">
        <v>0</v>
      </c>
      <c r="FR8" s="1">
        <v>0</v>
      </c>
      <c r="FS8" s="1">
        <v>7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1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3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2</v>
      </c>
      <c r="IG8" s="1">
        <v>0</v>
      </c>
      <c r="IH8" s="1">
        <v>26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1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3</v>
      </c>
      <c r="JH8" s="1">
        <v>0</v>
      </c>
      <c r="JI8" s="1">
        <v>0</v>
      </c>
      <c r="JJ8" s="1">
        <v>0</v>
      </c>
      <c r="JK8" s="1">
        <v>13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2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1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2</v>
      </c>
      <c r="KO8" s="1">
        <v>0</v>
      </c>
      <c r="KP8" s="1">
        <v>0</v>
      </c>
      <c r="KQ8" s="1">
        <v>0</v>
      </c>
      <c r="KR8" s="1">
        <v>0</v>
      </c>
      <c r="KS8" s="1">
        <v>1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1</v>
      </c>
      <c r="LN8" s="1">
        <v>0</v>
      </c>
      <c r="LO8" s="1">
        <v>0</v>
      </c>
      <c r="LP8" s="1">
        <v>0</v>
      </c>
      <c r="LQ8" s="1">
        <v>0</v>
      </c>
      <c r="LR8" s="1">
        <v>2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2</v>
      </c>
      <c r="MJ8" s="1">
        <v>1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39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8</v>
      </c>
      <c r="OA8" s="1">
        <v>0</v>
      </c>
      <c r="OB8" s="1">
        <v>0</v>
      </c>
      <c r="OC8" s="1">
        <v>0</v>
      </c>
      <c r="OD8" s="1">
        <v>4</v>
      </c>
      <c r="OE8" s="1">
        <v>0</v>
      </c>
      <c r="OF8" s="1">
        <v>0</v>
      </c>
      <c r="OG8" s="1">
        <v>1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6</v>
      </c>
      <c r="OU8" s="1">
        <v>2</v>
      </c>
      <c r="OV8" s="1">
        <v>0</v>
      </c>
      <c r="OW8" s="1">
        <v>0</v>
      </c>
      <c r="OX8" s="1">
        <v>0</v>
      </c>
      <c r="OY8" s="1">
        <v>0</v>
      </c>
      <c r="OZ8" s="1">
        <v>0</v>
      </c>
      <c r="PA8" s="1">
        <v>0</v>
      </c>
      <c r="PB8" s="1">
        <v>0</v>
      </c>
      <c r="PC8" s="1">
        <v>0</v>
      </c>
      <c r="PD8" s="1">
        <v>0</v>
      </c>
      <c r="PE8" s="1">
        <v>0</v>
      </c>
      <c r="PF8" s="1">
        <v>0</v>
      </c>
      <c r="PG8" s="1">
        <v>0</v>
      </c>
      <c r="PH8" s="1">
        <v>0</v>
      </c>
      <c r="PI8" s="1">
        <v>0</v>
      </c>
      <c r="PJ8" s="1">
        <v>0</v>
      </c>
      <c r="PK8" s="1">
        <v>3</v>
      </c>
      <c r="PL8" s="1">
        <v>0</v>
      </c>
      <c r="PM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0</v>
      </c>
      <c r="QA8" s="1">
        <v>0</v>
      </c>
      <c r="QB8" s="1">
        <v>1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0</v>
      </c>
      <c r="QI8" s="1">
        <v>0</v>
      </c>
      <c r="QJ8" s="1">
        <v>0</v>
      </c>
      <c r="QK8" s="1">
        <v>0</v>
      </c>
      <c r="QL8" s="1">
        <v>0</v>
      </c>
      <c r="QM8" s="1">
        <v>0</v>
      </c>
      <c r="QN8" s="1">
        <v>0</v>
      </c>
      <c r="QO8" s="1">
        <v>0</v>
      </c>
      <c r="QP8" s="1">
        <v>0</v>
      </c>
      <c r="QQ8" s="1">
        <v>0</v>
      </c>
      <c r="QR8" s="1">
        <v>1</v>
      </c>
      <c r="QS8" s="1">
        <v>0</v>
      </c>
      <c r="QT8" s="1">
        <v>0</v>
      </c>
      <c r="QU8" s="1">
        <v>0</v>
      </c>
      <c r="QV8" s="1">
        <v>0</v>
      </c>
      <c r="QW8" s="1">
        <v>0</v>
      </c>
      <c r="QX8" s="1">
        <v>5</v>
      </c>
      <c r="QY8" s="1">
        <v>1</v>
      </c>
      <c r="QZ8" s="1">
        <v>0</v>
      </c>
      <c r="RA8" s="1">
        <v>0</v>
      </c>
      <c r="RB8" s="1">
        <v>0</v>
      </c>
      <c r="RC8" s="1">
        <v>4</v>
      </c>
      <c r="RD8" s="1">
        <v>0</v>
      </c>
      <c r="RE8" s="1">
        <v>0</v>
      </c>
      <c r="RF8" s="1">
        <v>0</v>
      </c>
      <c r="RG8" s="1">
        <v>0</v>
      </c>
      <c r="RH8" s="1">
        <v>0</v>
      </c>
      <c r="RI8" s="1">
        <v>0</v>
      </c>
      <c r="RJ8" s="1">
        <v>0</v>
      </c>
      <c r="RK8" s="1">
        <v>0</v>
      </c>
      <c r="RL8" s="1">
        <v>1</v>
      </c>
      <c r="RM8" s="1">
        <v>0</v>
      </c>
      <c r="RN8" s="1">
        <v>0</v>
      </c>
      <c r="RO8" s="1">
        <v>0</v>
      </c>
      <c r="RP8" s="1">
        <v>0</v>
      </c>
      <c r="RQ8" s="1">
        <v>0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SD8" s="1">
        <v>0</v>
      </c>
      <c r="SE8" s="1">
        <v>0</v>
      </c>
      <c r="SF8" s="1">
        <v>0</v>
      </c>
      <c r="SG8" s="1">
        <v>0</v>
      </c>
      <c r="SH8" s="1">
        <v>0</v>
      </c>
      <c r="SI8" s="1">
        <v>0</v>
      </c>
      <c r="SJ8" s="1">
        <v>0</v>
      </c>
      <c r="SK8" s="1">
        <v>9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  <c r="SS8" s="1">
        <v>0</v>
      </c>
      <c r="ST8" s="1">
        <v>0</v>
      </c>
      <c r="SU8" s="1">
        <v>0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0</v>
      </c>
      <c r="TH8" s="1">
        <v>0</v>
      </c>
      <c r="TI8" s="1">
        <v>0</v>
      </c>
      <c r="TJ8" s="1">
        <v>0</v>
      </c>
      <c r="TK8" s="1">
        <v>0</v>
      </c>
      <c r="TL8" s="1">
        <v>0</v>
      </c>
      <c r="TM8" s="1">
        <v>0</v>
      </c>
      <c r="TN8" s="1">
        <v>0</v>
      </c>
      <c r="TO8" s="1">
        <v>0</v>
      </c>
      <c r="TP8" s="1">
        <v>0</v>
      </c>
      <c r="TQ8" s="1">
        <v>0</v>
      </c>
      <c r="TR8" s="1">
        <v>0</v>
      </c>
      <c r="TS8" s="1">
        <v>0</v>
      </c>
      <c r="TT8" s="1">
        <v>0</v>
      </c>
      <c r="TU8" s="1">
        <v>0</v>
      </c>
      <c r="TV8" s="1">
        <v>0</v>
      </c>
      <c r="TW8" s="1">
        <v>0</v>
      </c>
      <c r="TX8" s="1">
        <v>0</v>
      </c>
      <c r="TY8" s="1">
        <v>0</v>
      </c>
      <c r="TZ8" s="1">
        <v>0</v>
      </c>
      <c r="UA8" s="1">
        <v>0</v>
      </c>
      <c r="UB8" s="1">
        <v>0</v>
      </c>
      <c r="UC8" s="1">
        <v>0</v>
      </c>
      <c r="UD8" s="1">
        <v>0</v>
      </c>
      <c r="UE8" s="1">
        <v>0</v>
      </c>
      <c r="UF8" s="1">
        <v>0</v>
      </c>
      <c r="UG8" s="1">
        <v>0</v>
      </c>
      <c r="UH8" s="1">
        <v>0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>
        <v>0</v>
      </c>
      <c r="UR8" s="1">
        <v>0</v>
      </c>
      <c r="US8" s="1">
        <v>0</v>
      </c>
      <c r="UT8" s="1">
        <v>0</v>
      </c>
      <c r="UU8" s="1">
        <v>0</v>
      </c>
      <c r="UV8" s="1">
        <v>0</v>
      </c>
      <c r="UW8" s="1">
        <v>0</v>
      </c>
      <c r="UX8" s="1">
        <v>2</v>
      </c>
      <c r="UY8" s="1">
        <v>0</v>
      </c>
      <c r="UZ8" s="1">
        <v>0</v>
      </c>
      <c r="VA8" s="1">
        <v>0</v>
      </c>
      <c r="VB8" s="1">
        <v>0</v>
      </c>
      <c r="VC8" s="1">
        <v>0</v>
      </c>
      <c r="VD8" s="1">
        <v>0</v>
      </c>
      <c r="VE8" s="1">
        <v>0</v>
      </c>
      <c r="VF8" s="1">
        <v>0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3</v>
      </c>
      <c r="WD8" s="1">
        <v>0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  <c r="WM8" s="1">
        <v>0</v>
      </c>
      <c r="WN8" s="1">
        <v>0</v>
      </c>
      <c r="WO8" s="1">
        <v>0</v>
      </c>
      <c r="WP8" s="1">
        <v>0</v>
      </c>
      <c r="WQ8" s="1">
        <v>0</v>
      </c>
      <c r="WR8" s="1">
        <v>0</v>
      </c>
      <c r="WS8" s="1">
        <v>0</v>
      </c>
      <c r="WT8" s="1">
        <v>0</v>
      </c>
      <c r="WU8" s="1">
        <v>0</v>
      </c>
      <c r="WV8" s="1">
        <v>0</v>
      </c>
      <c r="WW8" s="1">
        <v>0</v>
      </c>
      <c r="WX8" s="1">
        <v>5</v>
      </c>
      <c r="WY8" s="1">
        <v>1</v>
      </c>
      <c r="WZ8" s="1">
        <v>0</v>
      </c>
      <c r="XA8" s="1">
        <v>0</v>
      </c>
      <c r="XB8" s="1">
        <v>0</v>
      </c>
      <c r="XC8" s="1">
        <v>0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</v>
      </c>
      <c r="XJ8" s="1">
        <v>0</v>
      </c>
      <c r="XK8" s="1">
        <v>0</v>
      </c>
      <c r="XL8" s="1">
        <v>6</v>
      </c>
      <c r="XM8" s="1">
        <v>0</v>
      </c>
      <c r="XN8" s="1">
        <v>0</v>
      </c>
      <c r="XO8" s="1">
        <v>0</v>
      </c>
      <c r="XP8" s="1">
        <v>0</v>
      </c>
      <c r="XQ8" s="1">
        <v>0</v>
      </c>
      <c r="XR8" s="1">
        <v>0</v>
      </c>
      <c r="XS8" s="1">
        <v>0</v>
      </c>
      <c r="XT8" s="1">
        <v>0</v>
      </c>
      <c r="XU8" s="1">
        <v>0</v>
      </c>
      <c r="XV8" s="1">
        <v>0</v>
      </c>
      <c r="XW8" s="1">
        <v>0</v>
      </c>
      <c r="XX8" s="1">
        <v>0</v>
      </c>
      <c r="XY8" s="1">
        <v>0</v>
      </c>
      <c r="XZ8" s="1">
        <v>0</v>
      </c>
      <c r="YA8" s="1">
        <v>0</v>
      </c>
      <c r="YB8" s="1">
        <v>0</v>
      </c>
      <c r="YC8" s="1">
        <v>0</v>
      </c>
      <c r="YD8" s="1">
        <v>0</v>
      </c>
      <c r="YE8" s="1">
        <v>0</v>
      </c>
      <c r="YF8" s="1">
        <v>2</v>
      </c>
      <c r="YG8" s="1">
        <v>0</v>
      </c>
      <c r="YH8" s="1">
        <v>0</v>
      </c>
      <c r="YI8" s="1">
        <v>0</v>
      </c>
      <c r="YJ8" s="1">
        <v>0</v>
      </c>
      <c r="YK8" s="1">
        <v>0</v>
      </c>
      <c r="YL8" s="1">
        <v>0</v>
      </c>
      <c r="YM8" s="1">
        <v>0</v>
      </c>
      <c r="YN8" s="1">
        <v>0</v>
      </c>
      <c r="YO8" s="1">
        <v>0</v>
      </c>
      <c r="YP8" s="1">
        <v>0</v>
      </c>
      <c r="YQ8" s="1">
        <v>0</v>
      </c>
      <c r="YR8" s="1">
        <v>0</v>
      </c>
      <c r="YS8" s="1">
        <v>0</v>
      </c>
      <c r="YT8" s="1">
        <v>0</v>
      </c>
      <c r="YU8" s="1">
        <v>0</v>
      </c>
      <c r="YV8" s="1">
        <v>0</v>
      </c>
      <c r="YW8" s="1">
        <v>0</v>
      </c>
      <c r="YX8" s="1">
        <v>0</v>
      </c>
      <c r="YY8" s="1">
        <v>0</v>
      </c>
      <c r="YZ8" s="1">
        <v>0</v>
      </c>
      <c r="ZA8" s="1">
        <v>0</v>
      </c>
      <c r="ZB8" s="1">
        <v>0</v>
      </c>
      <c r="ZC8" s="1">
        <v>0</v>
      </c>
      <c r="ZD8" s="1">
        <v>0</v>
      </c>
      <c r="ZE8" s="1">
        <v>0</v>
      </c>
      <c r="ZF8" s="1">
        <v>0</v>
      </c>
      <c r="ZG8" s="1">
        <v>0</v>
      </c>
      <c r="ZH8" s="1">
        <v>0</v>
      </c>
      <c r="ZI8" s="1">
        <v>0</v>
      </c>
      <c r="ZJ8" s="1">
        <v>0</v>
      </c>
      <c r="ZK8" s="1">
        <v>0</v>
      </c>
      <c r="ZL8" s="1">
        <v>0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0</v>
      </c>
      <c r="ZS8" s="1">
        <v>0</v>
      </c>
      <c r="ZT8" s="1">
        <v>0</v>
      </c>
      <c r="ZU8" s="1">
        <v>0</v>
      </c>
      <c r="ZV8" s="1">
        <v>0</v>
      </c>
      <c r="ZW8" s="1">
        <v>0</v>
      </c>
      <c r="ZX8" s="1">
        <v>0</v>
      </c>
      <c r="ZY8" s="1">
        <v>0</v>
      </c>
      <c r="ZZ8" s="1">
        <v>0</v>
      </c>
      <c r="AAA8" s="1">
        <v>0</v>
      </c>
      <c r="AAB8" s="1">
        <v>0</v>
      </c>
      <c r="AAC8" s="1">
        <v>0</v>
      </c>
      <c r="AAD8" s="1">
        <v>0</v>
      </c>
      <c r="AAE8" s="1">
        <v>0</v>
      </c>
      <c r="AAF8" s="1">
        <v>0</v>
      </c>
      <c r="AAG8" s="1">
        <v>0</v>
      </c>
      <c r="AAH8" s="1">
        <v>0</v>
      </c>
      <c r="AAI8" s="1">
        <v>0</v>
      </c>
      <c r="AAJ8" s="1">
        <v>1</v>
      </c>
      <c r="AAK8" s="1">
        <v>0</v>
      </c>
      <c r="AAL8" s="1">
        <v>0</v>
      </c>
      <c r="AAM8" s="1">
        <v>0</v>
      </c>
      <c r="AAN8" s="1">
        <v>0</v>
      </c>
      <c r="AAO8" s="1">
        <v>0</v>
      </c>
      <c r="AAP8" s="1">
        <v>0</v>
      </c>
      <c r="AAQ8" s="1">
        <v>0</v>
      </c>
      <c r="AAR8" s="1">
        <v>0</v>
      </c>
      <c r="AAS8" s="1">
        <v>0</v>
      </c>
      <c r="AAT8" s="1">
        <v>0</v>
      </c>
      <c r="AAU8" s="1">
        <v>0</v>
      </c>
      <c r="AAV8" s="1">
        <v>0</v>
      </c>
      <c r="AAW8" s="1">
        <v>0</v>
      </c>
      <c r="AAX8" s="1">
        <v>0</v>
      </c>
      <c r="AAY8" s="1">
        <v>0</v>
      </c>
      <c r="AAZ8" s="1">
        <v>0</v>
      </c>
      <c r="ABA8" s="1">
        <v>0</v>
      </c>
      <c r="ABB8" s="1">
        <v>0</v>
      </c>
      <c r="ABC8" s="1">
        <v>0</v>
      </c>
      <c r="ABD8" s="1">
        <v>0</v>
      </c>
      <c r="ABE8" s="1">
        <v>0</v>
      </c>
      <c r="ABF8" s="1">
        <v>0</v>
      </c>
      <c r="ABG8" s="1">
        <v>0</v>
      </c>
      <c r="ABH8" s="1">
        <v>0</v>
      </c>
      <c r="ABI8" s="1">
        <v>2</v>
      </c>
      <c r="ABJ8" s="1">
        <v>0</v>
      </c>
      <c r="ABK8" s="1">
        <v>0</v>
      </c>
      <c r="ABL8" s="1">
        <v>0</v>
      </c>
      <c r="ABM8" s="1">
        <v>0</v>
      </c>
      <c r="ABN8" s="1">
        <v>0</v>
      </c>
      <c r="ABO8" s="1">
        <v>0</v>
      </c>
      <c r="ABP8" s="1">
        <v>0</v>
      </c>
      <c r="ABQ8" s="1">
        <v>0</v>
      </c>
      <c r="ABR8" s="1">
        <v>0</v>
      </c>
      <c r="ABS8" s="1">
        <v>0</v>
      </c>
      <c r="ABT8" s="1">
        <v>0</v>
      </c>
      <c r="ABU8" s="1">
        <v>0</v>
      </c>
      <c r="ABV8" s="1">
        <v>0</v>
      </c>
      <c r="ABW8" s="1">
        <v>0</v>
      </c>
      <c r="ABX8" s="1">
        <v>0</v>
      </c>
      <c r="ABY8" s="1">
        <v>0</v>
      </c>
      <c r="ABZ8" s="1">
        <v>0</v>
      </c>
      <c r="ACA8" s="1">
        <v>0</v>
      </c>
      <c r="ACB8" s="1">
        <v>0</v>
      </c>
      <c r="ACC8" s="1">
        <v>0</v>
      </c>
    </row>
    <row r="9" spans="1:757">
      <c r="A9" s="1" t="s">
        <v>769</v>
      </c>
      <c r="B9" s="1" t="s">
        <v>799</v>
      </c>
      <c r="C9" s="1" t="s">
        <v>788</v>
      </c>
      <c r="D9" s="1" t="s">
        <v>685</v>
      </c>
      <c r="E9" s="1" t="s">
        <v>685</v>
      </c>
      <c r="F9" s="1" t="s">
        <v>3034</v>
      </c>
      <c r="G9" s="77">
        <f t="shared" si="0"/>
        <v>150381</v>
      </c>
      <c r="H9" s="1">
        <v>30449</v>
      </c>
      <c r="I9" s="1">
        <v>110314</v>
      </c>
      <c r="J9" s="1">
        <v>49</v>
      </c>
      <c r="K9" s="1">
        <v>65</v>
      </c>
      <c r="L9" s="1">
        <v>0</v>
      </c>
      <c r="M9" s="1">
        <v>333</v>
      </c>
      <c r="N9" s="1">
        <v>0</v>
      </c>
      <c r="O9" s="1">
        <v>337</v>
      </c>
      <c r="P9" s="1">
        <v>11</v>
      </c>
      <c r="Q9" s="1">
        <v>1202</v>
      </c>
      <c r="R9" s="1">
        <v>0</v>
      </c>
      <c r="S9" s="1">
        <v>0</v>
      </c>
      <c r="T9" s="1">
        <v>8</v>
      </c>
      <c r="U9" s="1">
        <v>6</v>
      </c>
      <c r="V9" s="1">
        <v>0</v>
      </c>
      <c r="W9" s="1">
        <v>0</v>
      </c>
      <c r="X9" s="1">
        <v>0</v>
      </c>
      <c r="Y9" s="1">
        <v>3986</v>
      </c>
      <c r="Z9" s="1">
        <v>0</v>
      </c>
      <c r="AA9" s="1">
        <v>0</v>
      </c>
      <c r="AB9" s="1">
        <v>0</v>
      </c>
      <c r="AC9" s="1">
        <v>370</v>
      </c>
      <c r="AD9" s="1">
        <v>63</v>
      </c>
      <c r="AE9" s="1">
        <v>0</v>
      </c>
      <c r="AF9" s="1">
        <v>8</v>
      </c>
      <c r="AG9" s="1">
        <v>0</v>
      </c>
      <c r="AH9" s="1">
        <v>56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3</v>
      </c>
      <c r="AR9" s="1">
        <v>92</v>
      </c>
      <c r="AS9" s="1">
        <v>0</v>
      </c>
      <c r="AT9" s="1">
        <v>3</v>
      </c>
      <c r="AU9" s="1">
        <v>0</v>
      </c>
      <c r="AV9" s="1">
        <v>104</v>
      </c>
      <c r="AW9" s="1">
        <v>1</v>
      </c>
      <c r="AX9" s="1">
        <v>20</v>
      </c>
      <c r="AY9" s="1">
        <v>0</v>
      </c>
      <c r="AZ9" s="1">
        <v>0</v>
      </c>
      <c r="BA9" s="1">
        <v>10</v>
      </c>
      <c r="BB9" s="1">
        <v>0</v>
      </c>
      <c r="BC9" s="1">
        <v>34</v>
      </c>
      <c r="BD9" s="1">
        <v>0</v>
      </c>
      <c r="BE9" s="1">
        <v>0</v>
      </c>
      <c r="BF9" s="1">
        <v>0</v>
      </c>
      <c r="BG9" s="1">
        <v>10</v>
      </c>
      <c r="BH9" s="1">
        <v>64</v>
      </c>
      <c r="BI9" s="1">
        <v>443</v>
      </c>
      <c r="BJ9" s="1">
        <v>0</v>
      </c>
      <c r="BK9" s="1">
        <v>173</v>
      </c>
      <c r="BL9" s="1">
        <v>0</v>
      </c>
      <c r="BM9" s="1">
        <v>0</v>
      </c>
      <c r="BN9" s="1">
        <v>192</v>
      </c>
      <c r="BO9" s="1">
        <v>0</v>
      </c>
      <c r="BP9" s="1">
        <v>19</v>
      </c>
      <c r="BQ9" s="1">
        <v>10</v>
      </c>
      <c r="BR9" s="1">
        <v>48</v>
      </c>
      <c r="BS9" s="1">
        <v>0</v>
      </c>
      <c r="BT9" s="1">
        <v>4</v>
      </c>
      <c r="BU9" s="1">
        <v>0</v>
      </c>
      <c r="BV9" s="1">
        <v>0</v>
      </c>
      <c r="BW9" s="1">
        <v>2</v>
      </c>
      <c r="BX9" s="1">
        <v>0</v>
      </c>
      <c r="BY9" s="1">
        <v>12</v>
      </c>
      <c r="BZ9" s="1">
        <v>0</v>
      </c>
      <c r="CA9" s="1">
        <v>4</v>
      </c>
      <c r="CB9" s="1">
        <v>0</v>
      </c>
      <c r="CC9" s="1">
        <v>3</v>
      </c>
      <c r="CD9" s="1">
        <v>3</v>
      </c>
      <c r="CE9" s="1">
        <v>160</v>
      </c>
      <c r="CF9" s="1">
        <v>0</v>
      </c>
      <c r="CG9" s="1">
        <v>0</v>
      </c>
      <c r="CH9" s="1">
        <v>0</v>
      </c>
      <c r="CI9" s="1">
        <v>2</v>
      </c>
      <c r="CJ9" s="1">
        <v>3</v>
      </c>
      <c r="CK9" s="1">
        <v>109</v>
      </c>
      <c r="CL9" s="1">
        <v>1</v>
      </c>
      <c r="CM9" s="1">
        <v>5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274</v>
      </c>
      <c r="CT9" s="1">
        <v>1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13</v>
      </c>
      <c r="DA9" s="1">
        <v>0</v>
      </c>
      <c r="DB9" s="1">
        <v>0</v>
      </c>
      <c r="DC9" s="1">
        <v>0</v>
      </c>
      <c r="DD9" s="1">
        <v>0</v>
      </c>
      <c r="DE9" s="1">
        <v>34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16</v>
      </c>
      <c r="DM9" s="1">
        <v>0</v>
      </c>
      <c r="DN9" s="1">
        <v>0</v>
      </c>
      <c r="DO9" s="1">
        <v>0</v>
      </c>
      <c r="DP9" s="1">
        <v>1</v>
      </c>
      <c r="DQ9" s="1">
        <v>0</v>
      </c>
      <c r="DR9" s="1">
        <v>27</v>
      </c>
      <c r="DS9" s="1">
        <v>54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1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124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1</v>
      </c>
      <c r="EO9" s="1">
        <v>1</v>
      </c>
      <c r="EP9" s="1">
        <v>106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12</v>
      </c>
      <c r="EW9" s="1">
        <v>1</v>
      </c>
      <c r="EX9" s="1">
        <v>0</v>
      </c>
      <c r="EY9" s="1">
        <v>2</v>
      </c>
      <c r="EZ9" s="1">
        <v>0</v>
      </c>
      <c r="FA9" s="1">
        <v>123</v>
      </c>
      <c r="FB9" s="1">
        <v>0</v>
      </c>
      <c r="FC9" s="1">
        <v>0</v>
      </c>
      <c r="FD9" s="1">
        <v>0</v>
      </c>
      <c r="FE9" s="1">
        <v>0</v>
      </c>
      <c r="FF9" s="1">
        <v>19</v>
      </c>
      <c r="FG9" s="1">
        <v>0</v>
      </c>
      <c r="FH9" s="1">
        <v>0</v>
      </c>
      <c r="FI9" s="1">
        <v>0</v>
      </c>
      <c r="FJ9" s="1">
        <v>1</v>
      </c>
      <c r="FK9" s="1">
        <v>0</v>
      </c>
      <c r="FL9" s="1">
        <v>1</v>
      </c>
      <c r="FM9" s="1">
        <v>0</v>
      </c>
      <c r="FN9" s="1">
        <v>207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1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23</v>
      </c>
      <c r="GG9" s="1">
        <v>0</v>
      </c>
      <c r="GH9" s="1">
        <v>7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4</v>
      </c>
      <c r="GT9" s="1">
        <v>1</v>
      </c>
      <c r="GU9" s="1">
        <v>0</v>
      </c>
      <c r="GV9" s="1">
        <v>3</v>
      </c>
      <c r="GW9" s="1">
        <v>2</v>
      </c>
      <c r="GX9" s="1">
        <v>0</v>
      </c>
      <c r="GY9" s="1">
        <v>12</v>
      </c>
      <c r="GZ9" s="1">
        <v>0</v>
      </c>
      <c r="HA9" s="1">
        <v>0</v>
      </c>
      <c r="HB9" s="1">
        <v>1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2</v>
      </c>
      <c r="HI9" s="1">
        <v>0</v>
      </c>
      <c r="HJ9" s="1">
        <v>0</v>
      </c>
      <c r="HK9" s="1">
        <v>0</v>
      </c>
      <c r="HL9" s="1">
        <v>0</v>
      </c>
      <c r="HM9" s="1">
        <v>1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8</v>
      </c>
      <c r="HV9" s="1">
        <v>0</v>
      </c>
      <c r="HW9" s="1">
        <v>2</v>
      </c>
      <c r="HX9" s="1">
        <v>44</v>
      </c>
      <c r="HY9" s="1">
        <v>0</v>
      </c>
      <c r="HZ9" s="1">
        <v>0</v>
      </c>
      <c r="IA9" s="1">
        <v>1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24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1</v>
      </c>
      <c r="IR9" s="1">
        <v>3</v>
      </c>
      <c r="IS9" s="1">
        <v>1</v>
      </c>
      <c r="IT9" s="1">
        <v>0</v>
      </c>
      <c r="IU9" s="1">
        <v>0</v>
      </c>
      <c r="IV9" s="1">
        <v>27</v>
      </c>
      <c r="IW9" s="1">
        <v>0</v>
      </c>
      <c r="IX9" s="1">
        <v>7</v>
      </c>
      <c r="IY9" s="1">
        <v>0</v>
      </c>
      <c r="IZ9" s="1">
        <v>0</v>
      </c>
      <c r="JA9" s="1">
        <v>0</v>
      </c>
      <c r="JB9" s="1">
        <v>0</v>
      </c>
      <c r="JC9" s="1">
        <v>3</v>
      </c>
      <c r="JD9" s="1">
        <v>0</v>
      </c>
      <c r="JE9" s="1">
        <v>0</v>
      </c>
      <c r="JF9" s="1">
        <v>1</v>
      </c>
      <c r="JG9" s="1">
        <v>11</v>
      </c>
      <c r="JH9" s="1">
        <v>0</v>
      </c>
      <c r="JI9" s="1">
        <v>21</v>
      </c>
      <c r="JJ9" s="1">
        <v>0</v>
      </c>
      <c r="JK9" s="1">
        <v>28</v>
      </c>
      <c r="JL9" s="1">
        <v>2</v>
      </c>
      <c r="JM9" s="1">
        <v>0</v>
      </c>
      <c r="JN9" s="1">
        <v>0</v>
      </c>
      <c r="JO9" s="1">
        <v>9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1</v>
      </c>
      <c r="KA9" s="1">
        <v>16</v>
      </c>
      <c r="KB9" s="1">
        <v>0</v>
      </c>
      <c r="KC9" s="1">
        <v>0</v>
      </c>
      <c r="KD9" s="1">
        <v>0</v>
      </c>
      <c r="KE9" s="1">
        <v>1</v>
      </c>
      <c r="KF9" s="1">
        <v>0</v>
      </c>
      <c r="KG9" s="1">
        <v>0</v>
      </c>
      <c r="KH9" s="1">
        <v>0</v>
      </c>
      <c r="KI9" s="1">
        <v>14</v>
      </c>
      <c r="KJ9" s="1">
        <v>25</v>
      </c>
      <c r="KK9" s="1">
        <v>4</v>
      </c>
      <c r="KL9" s="1">
        <v>0</v>
      </c>
      <c r="KM9" s="1">
        <v>0</v>
      </c>
      <c r="KN9" s="1">
        <v>3</v>
      </c>
      <c r="KO9" s="1">
        <v>0</v>
      </c>
      <c r="KP9" s="1">
        <v>0</v>
      </c>
      <c r="KQ9" s="1">
        <v>5</v>
      </c>
      <c r="KR9" s="1">
        <v>6</v>
      </c>
      <c r="KS9" s="1">
        <v>8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29</v>
      </c>
      <c r="LA9" s="1">
        <v>0</v>
      </c>
      <c r="LB9" s="1">
        <v>0</v>
      </c>
      <c r="LC9" s="1">
        <v>1</v>
      </c>
      <c r="LD9" s="1">
        <v>0</v>
      </c>
      <c r="LE9" s="1">
        <v>0</v>
      </c>
      <c r="LF9" s="1">
        <v>1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1</v>
      </c>
      <c r="LN9" s="1">
        <v>2</v>
      </c>
      <c r="LO9" s="1">
        <v>1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1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13</v>
      </c>
      <c r="ME9" s="1">
        <v>0</v>
      </c>
      <c r="MF9" s="1">
        <v>0</v>
      </c>
      <c r="MG9" s="1">
        <v>0</v>
      </c>
      <c r="MH9" s="1">
        <v>2</v>
      </c>
      <c r="MI9" s="1">
        <v>3</v>
      </c>
      <c r="MJ9" s="1">
        <v>3</v>
      </c>
      <c r="MK9" s="1">
        <v>0</v>
      </c>
      <c r="ML9" s="1">
        <v>0</v>
      </c>
      <c r="MM9" s="1">
        <v>0</v>
      </c>
      <c r="MN9" s="1">
        <v>4</v>
      </c>
      <c r="MO9" s="1">
        <v>3</v>
      </c>
      <c r="MP9" s="1">
        <v>0</v>
      </c>
      <c r="MQ9" s="1">
        <v>0</v>
      </c>
      <c r="MR9" s="1">
        <v>0</v>
      </c>
      <c r="MS9" s="1">
        <v>1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9</v>
      </c>
      <c r="NP9" s="1">
        <v>0</v>
      </c>
      <c r="NQ9" s="1">
        <v>0</v>
      </c>
      <c r="NR9" s="1">
        <v>0</v>
      </c>
      <c r="NS9" s="1">
        <v>0</v>
      </c>
      <c r="NT9" s="1">
        <v>3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1</v>
      </c>
      <c r="OA9" s="1">
        <v>0</v>
      </c>
      <c r="OB9" s="1">
        <v>0</v>
      </c>
      <c r="OC9" s="1">
        <v>0</v>
      </c>
      <c r="OD9" s="1">
        <v>1</v>
      </c>
      <c r="OE9" s="1">
        <v>0</v>
      </c>
      <c r="OF9" s="1">
        <v>1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3</v>
      </c>
      <c r="OO9" s="1">
        <v>1</v>
      </c>
      <c r="OP9" s="1">
        <v>0</v>
      </c>
      <c r="OQ9" s="1">
        <v>0</v>
      </c>
      <c r="OR9" s="1">
        <v>0</v>
      </c>
      <c r="OS9" s="1">
        <v>0</v>
      </c>
      <c r="OT9" s="1">
        <v>0</v>
      </c>
      <c r="OU9" s="1">
        <v>1</v>
      </c>
      <c r="OV9" s="1">
        <v>0</v>
      </c>
      <c r="OW9" s="1">
        <v>0</v>
      </c>
      <c r="OX9" s="1">
        <v>1</v>
      </c>
      <c r="OY9" s="1">
        <v>0</v>
      </c>
      <c r="OZ9" s="1">
        <v>0</v>
      </c>
      <c r="PA9" s="1">
        <v>0</v>
      </c>
      <c r="PB9" s="1">
        <v>0</v>
      </c>
      <c r="PC9" s="1">
        <v>4</v>
      </c>
      <c r="PD9" s="1">
        <v>7</v>
      </c>
      <c r="PE9" s="1">
        <v>0</v>
      </c>
      <c r="PF9" s="1">
        <v>0</v>
      </c>
      <c r="PG9" s="1">
        <v>0</v>
      </c>
      <c r="PH9" s="1">
        <v>0</v>
      </c>
      <c r="PI9" s="1">
        <v>2</v>
      </c>
      <c r="PJ9" s="1">
        <v>1</v>
      </c>
      <c r="PK9" s="1">
        <v>0</v>
      </c>
      <c r="PL9" s="1">
        <v>1</v>
      </c>
      <c r="PM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0</v>
      </c>
      <c r="PV9" s="1">
        <v>0</v>
      </c>
      <c r="PW9" s="1">
        <v>0</v>
      </c>
      <c r="PX9" s="1">
        <v>0</v>
      </c>
      <c r="PY9" s="1">
        <v>2</v>
      </c>
      <c r="PZ9" s="1">
        <v>0</v>
      </c>
      <c r="QA9" s="1">
        <v>7</v>
      </c>
      <c r="QB9" s="1">
        <v>1</v>
      </c>
      <c r="QC9" s="1">
        <v>1</v>
      </c>
      <c r="QD9" s="1">
        <v>10</v>
      </c>
      <c r="QE9" s="1">
        <v>1</v>
      </c>
      <c r="QF9" s="1">
        <v>0</v>
      </c>
      <c r="QG9" s="1">
        <v>0</v>
      </c>
      <c r="QH9" s="1">
        <v>0</v>
      </c>
      <c r="QI9" s="1">
        <v>0</v>
      </c>
      <c r="QJ9" s="1">
        <v>0</v>
      </c>
      <c r="QK9" s="1">
        <v>0</v>
      </c>
      <c r="QL9" s="1">
        <v>0</v>
      </c>
      <c r="QM9" s="1">
        <v>4</v>
      </c>
      <c r="QN9" s="1">
        <v>1</v>
      </c>
      <c r="QO9" s="1">
        <v>0</v>
      </c>
      <c r="QP9" s="1">
        <v>0</v>
      </c>
      <c r="QQ9" s="1">
        <v>0</v>
      </c>
      <c r="QR9" s="1">
        <v>0</v>
      </c>
      <c r="QS9" s="1">
        <v>1</v>
      </c>
      <c r="QT9" s="1">
        <v>0</v>
      </c>
      <c r="QU9" s="1">
        <v>0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0</v>
      </c>
      <c r="RC9" s="1">
        <v>0</v>
      </c>
      <c r="RD9" s="1">
        <v>4</v>
      </c>
      <c r="RE9" s="1">
        <v>1</v>
      </c>
      <c r="RF9" s="1">
        <v>0</v>
      </c>
      <c r="RG9" s="1">
        <v>0</v>
      </c>
      <c r="RH9" s="1">
        <v>0</v>
      </c>
      <c r="RI9" s="1">
        <v>0</v>
      </c>
      <c r="RJ9" s="1">
        <v>0</v>
      </c>
      <c r="RK9" s="1">
        <v>0</v>
      </c>
      <c r="RL9" s="1">
        <v>0</v>
      </c>
      <c r="RM9" s="1">
        <v>0</v>
      </c>
      <c r="RN9" s="1">
        <v>0</v>
      </c>
      <c r="RO9" s="1">
        <v>13</v>
      </c>
      <c r="RP9" s="1">
        <v>0</v>
      </c>
      <c r="RQ9" s="1">
        <v>0</v>
      </c>
      <c r="RR9" s="1">
        <v>0</v>
      </c>
      <c r="RS9" s="1">
        <v>0</v>
      </c>
      <c r="RT9" s="1">
        <v>0</v>
      </c>
      <c r="RU9" s="1">
        <v>1</v>
      </c>
      <c r="RV9" s="1">
        <v>0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1">
        <v>0</v>
      </c>
      <c r="SE9" s="1">
        <v>1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1</v>
      </c>
      <c r="SO9" s="1">
        <v>3</v>
      </c>
      <c r="SP9" s="1">
        <v>0</v>
      </c>
      <c r="SQ9" s="1">
        <v>11</v>
      </c>
      <c r="SR9" s="1">
        <v>0</v>
      </c>
      <c r="SS9" s="1">
        <v>0</v>
      </c>
      <c r="ST9" s="1">
        <v>0</v>
      </c>
      <c r="SU9" s="1">
        <v>0</v>
      </c>
      <c r="SV9" s="1">
        <v>0</v>
      </c>
      <c r="SW9" s="1">
        <v>0</v>
      </c>
      <c r="SX9" s="1">
        <v>0</v>
      </c>
      <c r="SY9" s="1">
        <v>5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0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1">
        <v>0</v>
      </c>
      <c r="TL9" s="1">
        <v>0</v>
      </c>
      <c r="TM9" s="1">
        <v>0</v>
      </c>
      <c r="TN9" s="1">
        <v>0</v>
      </c>
      <c r="TO9" s="1">
        <v>0</v>
      </c>
      <c r="TP9" s="1">
        <v>2</v>
      </c>
      <c r="TQ9" s="1">
        <v>1</v>
      </c>
      <c r="TR9" s="1">
        <v>0</v>
      </c>
      <c r="TS9" s="1">
        <v>0</v>
      </c>
      <c r="TT9" s="1">
        <v>0</v>
      </c>
      <c r="TU9" s="1">
        <v>0</v>
      </c>
      <c r="TV9" s="1">
        <v>0</v>
      </c>
      <c r="TW9" s="1">
        <v>0</v>
      </c>
      <c r="TX9" s="1">
        <v>0</v>
      </c>
      <c r="TY9" s="1">
        <v>0</v>
      </c>
      <c r="TZ9" s="1">
        <v>0</v>
      </c>
      <c r="UA9" s="1">
        <v>0</v>
      </c>
      <c r="UB9" s="1">
        <v>0</v>
      </c>
      <c r="UC9" s="1">
        <v>0</v>
      </c>
      <c r="UD9" s="1">
        <v>0</v>
      </c>
      <c r="UE9" s="1">
        <v>0</v>
      </c>
      <c r="UF9" s="1">
        <v>1</v>
      </c>
      <c r="UG9" s="1">
        <v>7</v>
      </c>
      <c r="UH9" s="1">
        <v>4</v>
      </c>
      <c r="UI9" s="1">
        <v>2</v>
      </c>
      <c r="UJ9" s="1">
        <v>1</v>
      </c>
      <c r="UK9" s="1">
        <v>0</v>
      </c>
      <c r="UL9" s="1">
        <v>0</v>
      </c>
      <c r="UM9" s="1">
        <v>0</v>
      </c>
      <c r="UN9" s="1">
        <v>0</v>
      </c>
      <c r="UO9" s="1">
        <v>3</v>
      </c>
      <c r="UP9" s="1">
        <v>1</v>
      </c>
      <c r="UQ9" s="1">
        <v>0</v>
      </c>
      <c r="UR9" s="1">
        <v>0</v>
      </c>
      <c r="US9" s="1">
        <v>0</v>
      </c>
      <c r="UT9" s="1">
        <v>0</v>
      </c>
      <c r="UU9" s="1">
        <v>0</v>
      </c>
      <c r="UV9" s="1">
        <v>0</v>
      </c>
      <c r="UW9" s="1">
        <v>0</v>
      </c>
      <c r="UX9" s="1">
        <v>0</v>
      </c>
      <c r="UY9" s="1">
        <v>0</v>
      </c>
      <c r="UZ9" s="1">
        <v>0</v>
      </c>
      <c r="VA9" s="1">
        <v>0</v>
      </c>
      <c r="VB9" s="1">
        <v>1</v>
      </c>
      <c r="VC9" s="1">
        <v>0</v>
      </c>
      <c r="VD9" s="1">
        <v>0</v>
      </c>
      <c r="VE9" s="1">
        <v>2</v>
      </c>
      <c r="VF9" s="1">
        <v>0</v>
      </c>
      <c r="VG9" s="1">
        <v>0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0</v>
      </c>
      <c r="VN9" s="1">
        <v>0</v>
      </c>
      <c r="VO9" s="1">
        <v>4</v>
      </c>
      <c r="VP9" s="1">
        <v>4</v>
      </c>
      <c r="VQ9" s="1">
        <v>1</v>
      </c>
      <c r="VR9" s="1">
        <v>1</v>
      </c>
      <c r="VS9" s="1">
        <v>0</v>
      </c>
      <c r="VT9" s="1">
        <v>0</v>
      </c>
      <c r="VU9" s="1">
        <v>0</v>
      </c>
      <c r="VV9" s="1">
        <v>0</v>
      </c>
      <c r="VW9" s="1">
        <v>0</v>
      </c>
      <c r="VX9" s="1">
        <v>0</v>
      </c>
      <c r="VY9" s="1">
        <v>0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3</v>
      </c>
      <c r="WF9" s="1">
        <v>6</v>
      </c>
      <c r="WG9" s="1">
        <v>2</v>
      </c>
      <c r="WH9" s="1">
        <v>0</v>
      </c>
      <c r="WI9" s="1">
        <v>0</v>
      </c>
      <c r="WJ9" s="1">
        <v>0</v>
      </c>
      <c r="WK9" s="1">
        <v>0</v>
      </c>
      <c r="WL9" s="1">
        <v>0</v>
      </c>
      <c r="WM9" s="1">
        <v>0</v>
      </c>
      <c r="WN9" s="1">
        <v>0</v>
      </c>
      <c r="WO9" s="1">
        <v>0</v>
      </c>
      <c r="WP9" s="1">
        <v>0</v>
      </c>
      <c r="WQ9" s="1">
        <v>0</v>
      </c>
      <c r="WR9" s="1">
        <v>0</v>
      </c>
      <c r="WS9" s="1">
        <v>0</v>
      </c>
      <c r="WT9" s="1">
        <v>0</v>
      </c>
      <c r="WU9" s="1">
        <v>0</v>
      </c>
      <c r="WV9" s="1">
        <v>0</v>
      </c>
      <c r="WW9" s="1">
        <v>0</v>
      </c>
      <c r="WX9" s="1">
        <v>0</v>
      </c>
      <c r="WY9" s="1">
        <v>0</v>
      </c>
      <c r="WZ9" s="1">
        <v>0</v>
      </c>
      <c r="XA9" s="1">
        <v>0</v>
      </c>
      <c r="XB9" s="1">
        <v>0</v>
      </c>
      <c r="XC9" s="1">
        <v>0</v>
      </c>
      <c r="XD9" s="1">
        <v>0</v>
      </c>
      <c r="XE9" s="1">
        <v>0</v>
      </c>
      <c r="XF9" s="1">
        <v>0</v>
      </c>
      <c r="XG9" s="1">
        <v>0</v>
      </c>
      <c r="XH9" s="1">
        <v>0</v>
      </c>
      <c r="XI9" s="1">
        <v>0</v>
      </c>
      <c r="XJ9" s="1">
        <v>0</v>
      </c>
      <c r="XK9" s="1">
        <v>0</v>
      </c>
      <c r="XL9" s="1">
        <v>0</v>
      </c>
      <c r="XM9" s="1">
        <v>0</v>
      </c>
      <c r="XN9" s="1">
        <v>1</v>
      </c>
      <c r="XO9" s="1">
        <v>1</v>
      </c>
      <c r="XP9" s="1">
        <v>0</v>
      </c>
      <c r="XQ9" s="1">
        <v>0</v>
      </c>
      <c r="XR9" s="1">
        <v>0</v>
      </c>
      <c r="XS9" s="1">
        <v>0</v>
      </c>
      <c r="XT9" s="1">
        <v>0</v>
      </c>
      <c r="XU9" s="1">
        <v>0</v>
      </c>
      <c r="XV9" s="1">
        <v>0</v>
      </c>
      <c r="XW9" s="1">
        <v>0</v>
      </c>
      <c r="XX9" s="1">
        <v>0</v>
      </c>
      <c r="XY9" s="1">
        <v>0</v>
      </c>
      <c r="XZ9" s="1">
        <v>0</v>
      </c>
      <c r="YA9" s="1">
        <v>0</v>
      </c>
      <c r="YB9" s="1">
        <v>0</v>
      </c>
      <c r="YC9" s="1">
        <v>1</v>
      </c>
      <c r="YD9" s="1">
        <v>0</v>
      </c>
      <c r="YE9" s="1">
        <v>0</v>
      </c>
      <c r="YF9" s="1">
        <v>0</v>
      </c>
      <c r="YG9" s="1">
        <v>3</v>
      </c>
      <c r="YH9" s="1">
        <v>2</v>
      </c>
      <c r="YI9" s="1">
        <v>0</v>
      </c>
      <c r="YJ9" s="1">
        <v>0</v>
      </c>
      <c r="YK9" s="1">
        <v>0</v>
      </c>
      <c r="YL9" s="1">
        <v>0</v>
      </c>
      <c r="YM9" s="1">
        <v>0</v>
      </c>
      <c r="YN9" s="1">
        <v>0</v>
      </c>
      <c r="YO9" s="1">
        <v>0</v>
      </c>
      <c r="YP9" s="1">
        <v>0</v>
      </c>
      <c r="YQ9" s="1">
        <v>0</v>
      </c>
      <c r="YR9" s="1">
        <v>0</v>
      </c>
      <c r="YS9" s="1">
        <v>0</v>
      </c>
      <c r="YT9" s="1">
        <v>0</v>
      </c>
      <c r="YU9" s="1">
        <v>0</v>
      </c>
      <c r="YV9" s="1">
        <v>0</v>
      </c>
      <c r="YW9" s="1">
        <v>0</v>
      </c>
      <c r="YX9" s="1">
        <v>0</v>
      </c>
      <c r="YY9" s="1">
        <v>0</v>
      </c>
      <c r="YZ9" s="1">
        <v>0</v>
      </c>
      <c r="ZA9" s="1">
        <v>0</v>
      </c>
      <c r="ZB9" s="1">
        <v>1</v>
      </c>
      <c r="ZC9" s="1">
        <v>1</v>
      </c>
      <c r="ZD9" s="1">
        <v>1</v>
      </c>
      <c r="ZE9" s="1">
        <v>1</v>
      </c>
      <c r="ZF9" s="1">
        <v>0</v>
      </c>
      <c r="ZG9" s="1">
        <v>0</v>
      </c>
      <c r="ZH9" s="1">
        <v>0</v>
      </c>
      <c r="ZI9" s="1">
        <v>0</v>
      </c>
      <c r="ZJ9" s="1">
        <v>0</v>
      </c>
      <c r="ZK9" s="1">
        <v>0</v>
      </c>
      <c r="ZL9" s="1">
        <v>0</v>
      </c>
      <c r="ZM9" s="1">
        <v>0</v>
      </c>
      <c r="ZN9" s="1">
        <v>0</v>
      </c>
      <c r="ZO9" s="1">
        <v>0</v>
      </c>
      <c r="ZP9" s="1">
        <v>0</v>
      </c>
      <c r="ZQ9" s="1">
        <v>0</v>
      </c>
      <c r="ZR9" s="1">
        <v>0</v>
      </c>
      <c r="ZS9" s="1">
        <v>0</v>
      </c>
      <c r="ZT9" s="1">
        <v>0</v>
      </c>
      <c r="ZU9" s="1">
        <v>0</v>
      </c>
      <c r="ZV9" s="1">
        <v>0</v>
      </c>
      <c r="ZW9" s="1">
        <v>0</v>
      </c>
      <c r="ZX9" s="1">
        <v>0</v>
      </c>
      <c r="ZY9" s="1">
        <v>0</v>
      </c>
      <c r="ZZ9" s="1">
        <v>0</v>
      </c>
      <c r="AAA9" s="1">
        <v>0</v>
      </c>
      <c r="AAB9" s="1">
        <v>0</v>
      </c>
      <c r="AAC9" s="1">
        <v>0</v>
      </c>
      <c r="AAD9" s="1">
        <v>0</v>
      </c>
      <c r="AAE9" s="1">
        <v>0</v>
      </c>
      <c r="AAF9" s="1">
        <v>0</v>
      </c>
      <c r="AAG9" s="1">
        <v>0</v>
      </c>
      <c r="AAH9" s="1">
        <v>0</v>
      </c>
      <c r="AAI9" s="1">
        <v>1</v>
      </c>
      <c r="AAJ9" s="1">
        <v>0</v>
      </c>
      <c r="AAK9" s="1">
        <v>0</v>
      </c>
      <c r="AAL9" s="1">
        <v>0</v>
      </c>
      <c r="AAM9" s="1">
        <v>0</v>
      </c>
      <c r="AAN9" s="1">
        <v>0</v>
      </c>
      <c r="AAO9" s="1">
        <v>0</v>
      </c>
      <c r="AAP9" s="1">
        <v>0</v>
      </c>
      <c r="AAQ9" s="1">
        <v>0</v>
      </c>
      <c r="AAR9" s="1">
        <v>0</v>
      </c>
      <c r="AAS9" s="1">
        <v>0</v>
      </c>
      <c r="AAT9" s="1">
        <v>0</v>
      </c>
      <c r="AAU9" s="1">
        <v>0</v>
      </c>
      <c r="AAV9" s="1">
        <v>0</v>
      </c>
      <c r="AAW9" s="1">
        <v>0</v>
      </c>
      <c r="AAX9" s="1">
        <v>0</v>
      </c>
      <c r="AAY9" s="1">
        <v>0</v>
      </c>
      <c r="AAZ9" s="1">
        <v>0</v>
      </c>
      <c r="ABA9" s="1">
        <v>0</v>
      </c>
      <c r="ABB9" s="1">
        <v>0</v>
      </c>
      <c r="ABC9" s="1">
        <v>0</v>
      </c>
      <c r="ABD9" s="1">
        <v>0</v>
      </c>
      <c r="ABE9" s="1">
        <v>0</v>
      </c>
      <c r="ABF9" s="1">
        <v>0</v>
      </c>
      <c r="ABG9" s="1">
        <v>0</v>
      </c>
      <c r="ABH9" s="1">
        <v>0</v>
      </c>
      <c r="ABI9" s="1">
        <v>0</v>
      </c>
      <c r="ABJ9" s="1">
        <v>2</v>
      </c>
      <c r="ABK9" s="1">
        <v>2</v>
      </c>
      <c r="ABL9" s="1">
        <v>2</v>
      </c>
      <c r="ABM9" s="1">
        <v>2</v>
      </c>
      <c r="ABN9" s="1">
        <v>1</v>
      </c>
      <c r="ABO9" s="1">
        <v>1</v>
      </c>
      <c r="ABP9" s="1">
        <v>0</v>
      </c>
      <c r="ABQ9" s="1">
        <v>0</v>
      </c>
      <c r="ABR9" s="1">
        <v>0</v>
      </c>
      <c r="ABS9" s="1">
        <v>0</v>
      </c>
      <c r="ABT9" s="1">
        <v>0</v>
      </c>
      <c r="ABU9" s="1">
        <v>0</v>
      </c>
      <c r="ABV9" s="1">
        <v>0</v>
      </c>
      <c r="ABW9" s="1">
        <v>0</v>
      </c>
      <c r="ABX9" s="1">
        <v>0</v>
      </c>
      <c r="ABY9" s="1">
        <v>0</v>
      </c>
      <c r="ABZ9" s="1">
        <v>0</v>
      </c>
      <c r="ACA9" s="1">
        <v>0</v>
      </c>
      <c r="ACB9" s="1">
        <v>0</v>
      </c>
      <c r="ACC9" s="1">
        <v>0</v>
      </c>
    </row>
    <row r="10" spans="1:757">
      <c r="A10" s="1" t="s">
        <v>768</v>
      </c>
      <c r="B10" s="1" t="s">
        <v>798</v>
      </c>
      <c r="C10" s="1" t="s">
        <v>788</v>
      </c>
      <c r="D10" s="1" t="s">
        <v>685</v>
      </c>
      <c r="E10" s="1" t="s">
        <v>685</v>
      </c>
      <c r="F10" s="1" t="s">
        <v>3034</v>
      </c>
      <c r="G10" s="77">
        <f t="shared" si="0"/>
        <v>141934</v>
      </c>
      <c r="H10" s="1">
        <v>13720</v>
      </c>
      <c r="I10" s="1">
        <v>124771</v>
      </c>
      <c r="J10" s="1">
        <v>66</v>
      </c>
      <c r="K10" s="1">
        <v>46</v>
      </c>
      <c r="L10" s="1">
        <v>0</v>
      </c>
      <c r="M10" s="1">
        <v>6</v>
      </c>
      <c r="N10" s="1">
        <v>0</v>
      </c>
      <c r="O10" s="1">
        <v>4</v>
      </c>
      <c r="P10" s="1">
        <v>4</v>
      </c>
      <c r="Q10" s="1">
        <v>731</v>
      </c>
      <c r="R10" s="1">
        <v>1</v>
      </c>
      <c r="S10" s="1">
        <v>0</v>
      </c>
      <c r="T10" s="1">
        <v>12</v>
      </c>
      <c r="U10" s="1">
        <v>4</v>
      </c>
      <c r="V10" s="1">
        <v>0</v>
      </c>
      <c r="W10" s="1">
        <v>0</v>
      </c>
      <c r="X10" s="1">
        <v>0</v>
      </c>
      <c r="Y10" s="1">
        <v>41</v>
      </c>
      <c r="Z10" s="1">
        <v>0</v>
      </c>
      <c r="AA10" s="1">
        <v>1</v>
      </c>
      <c r="AB10" s="1">
        <v>1</v>
      </c>
      <c r="AC10" s="1">
        <v>806</v>
      </c>
      <c r="AD10" s="1">
        <v>11</v>
      </c>
      <c r="AE10" s="1">
        <v>0</v>
      </c>
      <c r="AF10" s="1">
        <v>8</v>
      </c>
      <c r="AG10" s="1">
        <v>0</v>
      </c>
      <c r="AH10" s="1">
        <v>68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1</v>
      </c>
      <c r="AR10" s="1">
        <v>142</v>
      </c>
      <c r="AS10" s="1">
        <v>0</v>
      </c>
      <c r="AT10" s="1">
        <v>0</v>
      </c>
      <c r="AU10" s="1">
        <v>0</v>
      </c>
      <c r="AV10" s="1">
        <v>84</v>
      </c>
      <c r="AW10" s="1">
        <v>0</v>
      </c>
      <c r="AX10" s="1">
        <v>20</v>
      </c>
      <c r="AY10" s="1">
        <v>0</v>
      </c>
      <c r="AZ10" s="1">
        <v>0</v>
      </c>
      <c r="BA10" s="1">
        <v>1</v>
      </c>
      <c r="BB10" s="1">
        <v>0</v>
      </c>
      <c r="BC10" s="1">
        <v>122</v>
      </c>
      <c r="BD10" s="1">
        <v>0</v>
      </c>
      <c r="BE10" s="1">
        <v>0</v>
      </c>
      <c r="BF10" s="1">
        <v>0</v>
      </c>
      <c r="BG10" s="1">
        <v>4</v>
      </c>
      <c r="BH10" s="1">
        <v>21</v>
      </c>
      <c r="BI10" s="1">
        <v>11</v>
      </c>
      <c r="BJ10" s="1">
        <v>0</v>
      </c>
      <c r="BK10" s="1">
        <v>57</v>
      </c>
      <c r="BL10" s="1">
        <v>0</v>
      </c>
      <c r="BM10" s="1">
        <v>0</v>
      </c>
      <c r="BN10" s="1">
        <v>55</v>
      </c>
      <c r="BO10" s="1">
        <v>0</v>
      </c>
      <c r="BP10" s="1">
        <v>50</v>
      </c>
      <c r="BQ10" s="1">
        <v>3</v>
      </c>
      <c r="BR10" s="1">
        <v>16</v>
      </c>
      <c r="BS10" s="1">
        <v>2</v>
      </c>
      <c r="BT10" s="1">
        <v>12</v>
      </c>
      <c r="BU10" s="1">
        <v>0</v>
      </c>
      <c r="BV10" s="1">
        <v>0</v>
      </c>
      <c r="BW10" s="1">
        <v>0</v>
      </c>
      <c r="BX10" s="1">
        <v>0</v>
      </c>
      <c r="BY10" s="1">
        <v>17</v>
      </c>
      <c r="BZ10" s="1">
        <v>0</v>
      </c>
      <c r="CA10" s="1">
        <v>8</v>
      </c>
      <c r="CB10" s="1">
        <v>0</v>
      </c>
      <c r="CC10" s="1">
        <v>5</v>
      </c>
      <c r="CD10" s="1">
        <v>0</v>
      </c>
      <c r="CE10" s="1">
        <v>212</v>
      </c>
      <c r="CF10" s="1">
        <v>0</v>
      </c>
      <c r="CG10" s="1">
        <v>0</v>
      </c>
      <c r="CH10" s="1">
        <v>0</v>
      </c>
      <c r="CI10" s="1">
        <v>1</v>
      </c>
      <c r="CJ10" s="1">
        <v>10</v>
      </c>
      <c r="CK10" s="1">
        <v>31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48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47</v>
      </c>
      <c r="DA10" s="1">
        <v>0</v>
      </c>
      <c r="DB10" s="1">
        <v>0</v>
      </c>
      <c r="DC10" s="1">
        <v>0</v>
      </c>
      <c r="DD10" s="1">
        <v>0</v>
      </c>
      <c r="DE10" s="1">
        <v>23</v>
      </c>
      <c r="DF10" s="1">
        <v>0</v>
      </c>
      <c r="DG10" s="1">
        <v>1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2</v>
      </c>
      <c r="DN10" s="1">
        <v>0</v>
      </c>
      <c r="DO10" s="1">
        <v>0</v>
      </c>
      <c r="DP10" s="1">
        <v>0</v>
      </c>
      <c r="DQ10" s="1">
        <v>0</v>
      </c>
      <c r="DR10" s="1">
        <v>31</v>
      </c>
      <c r="DS10" s="1">
        <v>11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4</v>
      </c>
      <c r="EA10" s="1">
        <v>0</v>
      </c>
      <c r="EB10" s="1">
        <v>0</v>
      </c>
      <c r="EC10" s="1">
        <v>0</v>
      </c>
      <c r="ED10" s="1">
        <v>0</v>
      </c>
      <c r="EE10" s="1">
        <v>6</v>
      </c>
      <c r="EF10" s="1">
        <v>30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68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10</v>
      </c>
      <c r="EW10" s="1">
        <v>0</v>
      </c>
      <c r="EX10" s="1">
        <v>0</v>
      </c>
      <c r="EY10" s="1">
        <v>2</v>
      </c>
      <c r="EZ10" s="1">
        <v>0</v>
      </c>
      <c r="FA10" s="1">
        <v>19</v>
      </c>
      <c r="FB10" s="1">
        <v>0</v>
      </c>
      <c r="FC10" s="1">
        <v>0</v>
      </c>
      <c r="FD10" s="1">
        <v>0</v>
      </c>
      <c r="FE10" s="1">
        <v>0</v>
      </c>
      <c r="FF10" s="1">
        <v>5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1</v>
      </c>
      <c r="FN10" s="1">
        <v>13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2</v>
      </c>
      <c r="FU10" s="1">
        <v>1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1</v>
      </c>
      <c r="GG10" s="1">
        <v>0</v>
      </c>
      <c r="GH10" s="1">
        <v>4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1</v>
      </c>
      <c r="GR10" s="1">
        <v>0</v>
      </c>
      <c r="GS10" s="1">
        <v>37</v>
      </c>
      <c r="GT10" s="1">
        <v>0</v>
      </c>
      <c r="GU10" s="1">
        <v>0</v>
      </c>
      <c r="GV10" s="1">
        <v>4</v>
      </c>
      <c r="GW10" s="1">
        <v>0</v>
      </c>
      <c r="GX10" s="1">
        <v>0</v>
      </c>
      <c r="GY10" s="1">
        <v>2</v>
      </c>
      <c r="GZ10" s="1">
        <v>0</v>
      </c>
      <c r="HA10" s="1">
        <v>0</v>
      </c>
      <c r="HB10" s="1">
        <v>1</v>
      </c>
      <c r="HC10" s="1">
        <v>0</v>
      </c>
      <c r="HD10" s="1">
        <v>0</v>
      </c>
      <c r="HE10" s="1">
        <v>0</v>
      </c>
      <c r="HF10" s="1">
        <v>1</v>
      </c>
      <c r="HG10" s="1">
        <v>0</v>
      </c>
      <c r="HH10" s="1">
        <v>1</v>
      </c>
      <c r="HI10" s="1">
        <v>1</v>
      </c>
      <c r="HJ10" s="1">
        <v>0</v>
      </c>
      <c r="HK10" s="1">
        <v>0</v>
      </c>
      <c r="HL10" s="1">
        <v>0</v>
      </c>
      <c r="HM10" s="1">
        <v>15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12</v>
      </c>
      <c r="HV10" s="1">
        <v>0</v>
      </c>
      <c r="HW10" s="1">
        <v>0</v>
      </c>
      <c r="HX10" s="1">
        <v>13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1</v>
      </c>
      <c r="IG10" s="1">
        <v>0</v>
      </c>
      <c r="IH10" s="1">
        <v>5</v>
      </c>
      <c r="II10" s="1">
        <v>0</v>
      </c>
      <c r="IJ10" s="1">
        <v>0</v>
      </c>
      <c r="IK10" s="1">
        <v>0</v>
      </c>
      <c r="IL10" s="1">
        <v>1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5</v>
      </c>
      <c r="IW10" s="1">
        <v>0</v>
      </c>
      <c r="IX10" s="1">
        <v>2</v>
      </c>
      <c r="IY10" s="1">
        <v>1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4</v>
      </c>
      <c r="JH10" s="1">
        <v>0</v>
      </c>
      <c r="JI10" s="1">
        <v>4</v>
      </c>
      <c r="JJ10" s="1">
        <v>0</v>
      </c>
      <c r="JK10" s="1">
        <v>33</v>
      </c>
      <c r="JL10" s="1">
        <v>0</v>
      </c>
      <c r="JM10" s="1">
        <v>0</v>
      </c>
      <c r="JN10" s="1">
        <v>1</v>
      </c>
      <c r="JO10" s="1">
        <v>3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5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29</v>
      </c>
      <c r="KJ10" s="1">
        <v>0</v>
      </c>
      <c r="KK10" s="1">
        <v>0</v>
      </c>
      <c r="KL10" s="1">
        <v>0</v>
      </c>
      <c r="KM10" s="1">
        <v>1</v>
      </c>
      <c r="KN10" s="1">
        <v>6</v>
      </c>
      <c r="KO10" s="1">
        <v>0</v>
      </c>
      <c r="KP10" s="1">
        <v>0</v>
      </c>
      <c r="KQ10" s="1">
        <v>6</v>
      </c>
      <c r="KR10" s="1">
        <v>3</v>
      </c>
      <c r="KS10" s="1">
        <v>8</v>
      </c>
      <c r="KT10" s="1">
        <v>0</v>
      </c>
      <c r="KU10" s="1">
        <v>0</v>
      </c>
      <c r="KV10" s="1">
        <v>0</v>
      </c>
      <c r="KW10" s="1">
        <v>0</v>
      </c>
      <c r="KX10" s="1">
        <v>1</v>
      </c>
      <c r="KY10" s="1">
        <v>0</v>
      </c>
      <c r="KZ10" s="1">
        <v>5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1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1</v>
      </c>
      <c r="LN10" s="1">
        <v>0</v>
      </c>
      <c r="LO10" s="1">
        <v>1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1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1</v>
      </c>
      <c r="MK10" s="1">
        <v>0</v>
      </c>
      <c r="ML10" s="1">
        <v>0</v>
      </c>
      <c r="MM10" s="1">
        <v>0</v>
      </c>
      <c r="MN10" s="1">
        <v>5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4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21</v>
      </c>
      <c r="NW10" s="1">
        <v>2</v>
      </c>
      <c r="NX10" s="1">
        <v>1</v>
      </c>
      <c r="NY10" s="1">
        <v>0</v>
      </c>
      <c r="NZ10" s="1">
        <v>0</v>
      </c>
      <c r="OA10" s="1">
        <v>32</v>
      </c>
      <c r="OB10" s="1">
        <v>0</v>
      </c>
      <c r="OC10" s="1">
        <v>0</v>
      </c>
      <c r="OD10" s="1">
        <v>1</v>
      </c>
      <c r="OE10" s="1">
        <v>1</v>
      </c>
      <c r="OF10" s="1">
        <v>1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4</v>
      </c>
      <c r="ON10" s="1">
        <v>3</v>
      </c>
      <c r="OO10" s="1">
        <v>0</v>
      </c>
      <c r="OP10" s="1">
        <v>0</v>
      </c>
      <c r="OQ10" s="1">
        <v>0</v>
      </c>
      <c r="OR10" s="1">
        <v>0</v>
      </c>
      <c r="OS10" s="1">
        <v>0</v>
      </c>
      <c r="OT10" s="1">
        <v>0</v>
      </c>
      <c r="OU10" s="1">
        <v>1</v>
      </c>
      <c r="OV10" s="1">
        <v>0</v>
      </c>
      <c r="OW10" s="1">
        <v>0</v>
      </c>
      <c r="OX10" s="1">
        <v>0</v>
      </c>
      <c r="OY10" s="1">
        <v>0</v>
      </c>
      <c r="OZ10" s="1">
        <v>0</v>
      </c>
      <c r="PA10" s="1">
        <v>0</v>
      </c>
      <c r="PB10" s="1">
        <v>0</v>
      </c>
      <c r="PC10" s="1">
        <v>0</v>
      </c>
      <c r="PD10" s="1">
        <v>0</v>
      </c>
      <c r="PE10" s="1">
        <v>0</v>
      </c>
      <c r="PF10" s="1">
        <v>0</v>
      </c>
      <c r="PG10" s="1">
        <v>0</v>
      </c>
      <c r="PH10" s="1">
        <v>0</v>
      </c>
      <c r="PI10" s="1">
        <v>3</v>
      </c>
      <c r="PJ10" s="1">
        <v>1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0</v>
      </c>
      <c r="PW10" s="1">
        <v>0</v>
      </c>
      <c r="PX10" s="1">
        <v>0</v>
      </c>
      <c r="PY10" s="1">
        <v>0</v>
      </c>
      <c r="PZ10" s="1">
        <v>0</v>
      </c>
      <c r="QA10" s="1">
        <v>6</v>
      </c>
      <c r="QB10" s="1">
        <v>3</v>
      </c>
      <c r="QC10" s="1">
        <v>1</v>
      </c>
      <c r="QD10" s="1">
        <v>0</v>
      </c>
      <c r="QE10" s="1">
        <v>6</v>
      </c>
      <c r="QF10" s="1">
        <v>1</v>
      </c>
      <c r="QG10" s="1">
        <v>0</v>
      </c>
      <c r="QH10" s="1">
        <v>0</v>
      </c>
      <c r="QI10" s="1">
        <v>0</v>
      </c>
      <c r="QJ10" s="1">
        <v>0</v>
      </c>
      <c r="QK10" s="1">
        <v>0</v>
      </c>
      <c r="QL10" s="1">
        <v>0</v>
      </c>
      <c r="QM10" s="1">
        <v>0</v>
      </c>
      <c r="QN10" s="1">
        <v>7</v>
      </c>
      <c r="QO10" s="1">
        <v>0</v>
      </c>
      <c r="QP10" s="1">
        <v>0</v>
      </c>
      <c r="QQ10" s="1">
        <v>0</v>
      </c>
      <c r="QR10" s="1">
        <v>0</v>
      </c>
      <c r="QS10" s="1">
        <v>0</v>
      </c>
      <c r="QT10" s="1">
        <v>0</v>
      </c>
      <c r="QU10" s="1">
        <v>0</v>
      </c>
      <c r="QV10" s="1">
        <v>0</v>
      </c>
      <c r="QW10" s="1">
        <v>14</v>
      </c>
      <c r="QX10" s="1">
        <v>0</v>
      </c>
      <c r="QY10" s="1">
        <v>0</v>
      </c>
      <c r="QZ10" s="1">
        <v>0</v>
      </c>
      <c r="RA10" s="1">
        <v>0</v>
      </c>
      <c r="RB10" s="1">
        <v>0</v>
      </c>
      <c r="RC10" s="1">
        <v>0</v>
      </c>
      <c r="RD10" s="1">
        <v>0</v>
      </c>
      <c r="RE10" s="1">
        <v>1</v>
      </c>
      <c r="RF10" s="1">
        <v>0</v>
      </c>
      <c r="RG10" s="1">
        <v>0</v>
      </c>
      <c r="RH10" s="1">
        <v>0</v>
      </c>
      <c r="RI10" s="1">
        <v>0</v>
      </c>
      <c r="RJ10" s="1">
        <v>0</v>
      </c>
      <c r="RK10" s="1">
        <v>0</v>
      </c>
      <c r="RL10" s="1">
        <v>0</v>
      </c>
      <c r="RM10" s="1">
        <v>0</v>
      </c>
      <c r="RN10" s="1">
        <v>0</v>
      </c>
      <c r="RO10" s="1">
        <v>1</v>
      </c>
      <c r="RP10" s="1">
        <v>0</v>
      </c>
      <c r="RQ10" s="1">
        <v>0</v>
      </c>
      <c r="RR10" s="1">
        <v>0</v>
      </c>
      <c r="RS10" s="1">
        <v>0</v>
      </c>
      <c r="RT10" s="1">
        <v>0</v>
      </c>
      <c r="RU10" s="1">
        <v>2</v>
      </c>
      <c r="RV10" s="1">
        <v>1</v>
      </c>
      <c r="RW10" s="1">
        <v>1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0</v>
      </c>
      <c r="SE10" s="1">
        <v>4</v>
      </c>
      <c r="SF10" s="1">
        <v>0</v>
      </c>
      <c r="SG10" s="1">
        <v>0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1</v>
      </c>
      <c r="SO10" s="1">
        <v>0</v>
      </c>
      <c r="SP10" s="1">
        <v>2</v>
      </c>
      <c r="SQ10" s="1">
        <v>0</v>
      </c>
      <c r="SR10" s="1">
        <v>0</v>
      </c>
      <c r="SS10" s="1">
        <v>0</v>
      </c>
      <c r="ST10" s="1">
        <v>0</v>
      </c>
      <c r="SU10" s="1">
        <v>0</v>
      </c>
      <c r="SV10" s="1">
        <v>0</v>
      </c>
      <c r="SW10" s="1">
        <v>0</v>
      </c>
      <c r="SX10" s="1">
        <v>0</v>
      </c>
      <c r="SY10" s="1">
        <v>3</v>
      </c>
      <c r="SZ10" s="1">
        <v>1</v>
      </c>
      <c r="TA10" s="1">
        <v>0</v>
      </c>
      <c r="TB10" s="1">
        <v>0</v>
      </c>
      <c r="TC10" s="1">
        <v>0</v>
      </c>
      <c r="TD10" s="1">
        <v>0</v>
      </c>
      <c r="TE10" s="1">
        <v>0</v>
      </c>
      <c r="TF10" s="1">
        <v>0</v>
      </c>
      <c r="TG10" s="1">
        <v>0</v>
      </c>
      <c r="TH10" s="1">
        <v>0</v>
      </c>
      <c r="TI10" s="1">
        <v>0</v>
      </c>
      <c r="TJ10" s="1">
        <v>1</v>
      </c>
      <c r="TK10" s="1">
        <v>1</v>
      </c>
      <c r="TL10" s="1">
        <v>0</v>
      </c>
      <c r="TM10" s="1">
        <v>0</v>
      </c>
      <c r="TN10" s="1">
        <v>0</v>
      </c>
      <c r="TO10" s="1">
        <v>0</v>
      </c>
      <c r="TP10" s="1">
        <v>1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0</v>
      </c>
      <c r="TW10" s="1">
        <v>0</v>
      </c>
      <c r="TX10" s="1">
        <v>0</v>
      </c>
      <c r="TY10" s="1">
        <v>0</v>
      </c>
      <c r="TZ10" s="1">
        <v>4</v>
      </c>
      <c r="UA10" s="1">
        <v>0</v>
      </c>
      <c r="UB10" s="1">
        <v>0</v>
      </c>
      <c r="UC10" s="1">
        <v>0</v>
      </c>
      <c r="UD10" s="1">
        <v>0</v>
      </c>
      <c r="UE10" s="1">
        <v>0</v>
      </c>
      <c r="UF10" s="1">
        <v>1</v>
      </c>
      <c r="UG10" s="1">
        <v>0</v>
      </c>
      <c r="UH10" s="1">
        <v>4</v>
      </c>
      <c r="UI10" s="1">
        <v>1</v>
      </c>
      <c r="UJ10" s="1">
        <v>0</v>
      </c>
      <c r="UK10" s="1">
        <v>3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>
        <v>0</v>
      </c>
      <c r="UR10" s="1">
        <v>0</v>
      </c>
      <c r="US10" s="1">
        <v>0</v>
      </c>
      <c r="UT10" s="1">
        <v>0</v>
      </c>
      <c r="UU10" s="1">
        <v>0</v>
      </c>
      <c r="UV10" s="1">
        <v>0</v>
      </c>
      <c r="UW10" s="1">
        <v>0</v>
      </c>
      <c r="UX10" s="1">
        <v>0</v>
      </c>
      <c r="UY10" s="1">
        <v>1</v>
      </c>
      <c r="UZ10" s="1">
        <v>0</v>
      </c>
      <c r="VA10" s="1">
        <v>0</v>
      </c>
      <c r="VB10" s="1">
        <v>1</v>
      </c>
      <c r="VC10" s="1">
        <v>0</v>
      </c>
      <c r="VD10" s="1">
        <v>0</v>
      </c>
      <c r="VE10" s="1">
        <v>2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0</v>
      </c>
      <c r="VL10" s="1">
        <v>0</v>
      </c>
      <c r="VM10" s="1">
        <v>0</v>
      </c>
      <c r="VN10" s="1">
        <v>1</v>
      </c>
      <c r="VO10" s="1">
        <v>0</v>
      </c>
      <c r="VP10" s="1">
        <v>0</v>
      </c>
      <c r="VQ10" s="1">
        <v>0</v>
      </c>
      <c r="VR10" s="1">
        <v>0</v>
      </c>
      <c r="VS10" s="1">
        <v>5</v>
      </c>
      <c r="VT10" s="1">
        <v>0</v>
      </c>
      <c r="VU10" s="1">
        <v>0</v>
      </c>
      <c r="VV10" s="1">
        <v>0</v>
      </c>
      <c r="VW10" s="1">
        <v>0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3</v>
      </c>
      <c r="WH10" s="1">
        <v>4</v>
      </c>
      <c r="WI10" s="1">
        <v>3</v>
      </c>
      <c r="WJ10" s="1">
        <v>0</v>
      </c>
      <c r="WK10" s="1">
        <v>0</v>
      </c>
      <c r="WL10" s="1">
        <v>0</v>
      </c>
      <c r="WM10" s="1">
        <v>0</v>
      </c>
      <c r="WN10" s="1">
        <v>0</v>
      </c>
      <c r="WO10" s="1">
        <v>0</v>
      </c>
      <c r="WP10" s="1">
        <v>0</v>
      </c>
      <c r="WQ10" s="1">
        <v>0</v>
      </c>
      <c r="WR10" s="1">
        <v>0</v>
      </c>
      <c r="WS10" s="1">
        <v>0</v>
      </c>
      <c r="WT10" s="1">
        <v>0</v>
      </c>
      <c r="WU10" s="1">
        <v>0</v>
      </c>
      <c r="WV10" s="1">
        <v>0</v>
      </c>
      <c r="WW10" s="1">
        <v>0</v>
      </c>
      <c r="WX10" s="1">
        <v>0</v>
      </c>
      <c r="WY10" s="1">
        <v>4</v>
      </c>
      <c r="WZ10" s="1">
        <v>1</v>
      </c>
      <c r="XA10" s="1">
        <v>0</v>
      </c>
      <c r="XB10" s="1">
        <v>0</v>
      </c>
      <c r="XC10" s="1">
        <v>0</v>
      </c>
      <c r="XD10" s="1">
        <v>0</v>
      </c>
      <c r="XE10" s="1">
        <v>0</v>
      </c>
      <c r="XF10" s="1">
        <v>0</v>
      </c>
      <c r="XG10" s="1">
        <v>0</v>
      </c>
      <c r="XH10" s="1">
        <v>0</v>
      </c>
      <c r="XI10" s="1">
        <v>0</v>
      </c>
      <c r="XJ10" s="1">
        <v>0</v>
      </c>
      <c r="XK10" s="1">
        <v>0</v>
      </c>
      <c r="XL10" s="1">
        <v>0</v>
      </c>
      <c r="XM10" s="1">
        <v>0</v>
      </c>
      <c r="XN10" s="1">
        <v>1</v>
      </c>
      <c r="XO10" s="1">
        <v>0</v>
      </c>
      <c r="XP10" s="1">
        <v>1</v>
      </c>
      <c r="XQ10" s="1">
        <v>0</v>
      </c>
      <c r="XR10" s="1">
        <v>0</v>
      </c>
      <c r="XS10" s="1">
        <v>0</v>
      </c>
      <c r="XT10" s="1">
        <v>0</v>
      </c>
      <c r="XU10" s="1">
        <v>0</v>
      </c>
      <c r="XV10" s="1">
        <v>0</v>
      </c>
      <c r="XW10" s="1">
        <v>0</v>
      </c>
      <c r="XX10" s="1">
        <v>0</v>
      </c>
      <c r="XY10" s="1">
        <v>0</v>
      </c>
      <c r="XZ10" s="1">
        <v>0</v>
      </c>
      <c r="YA10" s="1">
        <v>0</v>
      </c>
      <c r="YB10" s="1">
        <v>0</v>
      </c>
      <c r="YC10" s="1">
        <v>0</v>
      </c>
      <c r="YD10" s="1">
        <v>0</v>
      </c>
      <c r="YE10" s="1">
        <v>0</v>
      </c>
      <c r="YF10" s="1">
        <v>1</v>
      </c>
      <c r="YG10" s="1">
        <v>0</v>
      </c>
      <c r="YH10" s="1">
        <v>0</v>
      </c>
      <c r="YI10" s="1">
        <v>0</v>
      </c>
      <c r="YJ10" s="1">
        <v>0</v>
      </c>
      <c r="YK10" s="1">
        <v>0</v>
      </c>
      <c r="YL10" s="1">
        <v>0</v>
      </c>
      <c r="YM10" s="1">
        <v>0</v>
      </c>
      <c r="YN10" s="1">
        <v>0</v>
      </c>
      <c r="YO10" s="1">
        <v>0</v>
      </c>
      <c r="YP10" s="1">
        <v>0</v>
      </c>
      <c r="YQ10" s="1">
        <v>0</v>
      </c>
      <c r="YR10" s="1">
        <v>0</v>
      </c>
      <c r="YS10" s="1">
        <v>0</v>
      </c>
      <c r="YT10" s="1">
        <v>0</v>
      </c>
      <c r="YU10" s="1">
        <v>0</v>
      </c>
      <c r="YV10" s="1">
        <v>0</v>
      </c>
      <c r="YW10" s="1">
        <v>0</v>
      </c>
      <c r="YX10" s="1">
        <v>0</v>
      </c>
      <c r="YY10" s="1">
        <v>0</v>
      </c>
      <c r="YZ10" s="1">
        <v>0</v>
      </c>
      <c r="ZA10" s="1">
        <v>0</v>
      </c>
      <c r="ZB10" s="1">
        <v>1</v>
      </c>
      <c r="ZC10" s="1">
        <v>0</v>
      </c>
      <c r="ZD10" s="1">
        <v>1</v>
      </c>
      <c r="ZE10" s="1">
        <v>0</v>
      </c>
      <c r="ZF10" s="1">
        <v>5</v>
      </c>
      <c r="ZG10" s="1">
        <v>1</v>
      </c>
      <c r="ZH10" s="1">
        <v>1</v>
      </c>
      <c r="ZI10" s="1">
        <v>1</v>
      </c>
      <c r="ZJ10" s="1">
        <v>0</v>
      </c>
      <c r="ZK10" s="1">
        <v>0</v>
      </c>
      <c r="ZL10" s="1">
        <v>0</v>
      </c>
      <c r="ZM10" s="1">
        <v>0</v>
      </c>
      <c r="ZN10" s="1">
        <v>0</v>
      </c>
      <c r="ZO10" s="1">
        <v>0</v>
      </c>
      <c r="ZP10" s="1">
        <v>0</v>
      </c>
      <c r="ZQ10" s="1">
        <v>0</v>
      </c>
      <c r="ZR10" s="1">
        <v>0</v>
      </c>
      <c r="ZS10" s="1">
        <v>0</v>
      </c>
      <c r="ZT10" s="1">
        <v>4</v>
      </c>
      <c r="ZU10" s="1">
        <v>2</v>
      </c>
      <c r="ZV10" s="1">
        <v>1</v>
      </c>
      <c r="ZW10" s="1">
        <v>1</v>
      </c>
      <c r="ZX10" s="1">
        <v>0</v>
      </c>
      <c r="ZY10" s="1">
        <v>0</v>
      </c>
      <c r="ZZ10" s="1">
        <v>0</v>
      </c>
      <c r="AAA10" s="1">
        <v>0</v>
      </c>
      <c r="AAB10" s="1">
        <v>0</v>
      </c>
      <c r="AAC10" s="1">
        <v>0</v>
      </c>
      <c r="AAD10" s="1">
        <v>0</v>
      </c>
      <c r="AAE10" s="1">
        <v>0</v>
      </c>
      <c r="AAF10" s="1">
        <v>0</v>
      </c>
      <c r="AAG10" s="1">
        <v>0</v>
      </c>
      <c r="AAH10" s="1">
        <v>0</v>
      </c>
      <c r="AAI10" s="1">
        <v>0</v>
      </c>
      <c r="AAJ10" s="1">
        <v>0</v>
      </c>
      <c r="AAK10" s="1">
        <v>0</v>
      </c>
      <c r="AAL10" s="1">
        <v>3</v>
      </c>
      <c r="AAM10" s="1">
        <v>1</v>
      </c>
      <c r="AAN10" s="1">
        <v>1</v>
      </c>
      <c r="AAO10" s="1">
        <v>0</v>
      </c>
      <c r="AAP10" s="1">
        <v>0</v>
      </c>
      <c r="AAQ10" s="1">
        <v>0</v>
      </c>
      <c r="AAR10" s="1">
        <v>0</v>
      </c>
      <c r="AAS10" s="1">
        <v>0</v>
      </c>
      <c r="AAT10" s="1">
        <v>0</v>
      </c>
      <c r="AAU10" s="1">
        <v>0</v>
      </c>
      <c r="AAV10" s="1">
        <v>0</v>
      </c>
      <c r="AAW10" s="1">
        <v>0</v>
      </c>
      <c r="AAX10" s="1">
        <v>0</v>
      </c>
      <c r="AAY10" s="1">
        <v>0</v>
      </c>
      <c r="AAZ10" s="1">
        <v>0</v>
      </c>
      <c r="ABA10" s="1">
        <v>0</v>
      </c>
      <c r="ABB10" s="1">
        <v>0</v>
      </c>
      <c r="ABC10" s="1">
        <v>0</v>
      </c>
      <c r="ABD10" s="1">
        <v>0</v>
      </c>
      <c r="ABE10" s="1">
        <v>0</v>
      </c>
      <c r="ABF10" s="1">
        <v>0</v>
      </c>
      <c r="ABG10" s="1">
        <v>0</v>
      </c>
      <c r="ABH10" s="1">
        <v>0</v>
      </c>
      <c r="ABI10" s="1">
        <v>0</v>
      </c>
      <c r="ABJ10" s="1">
        <v>0</v>
      </c>
      <c r="ABK10" s="1">
        <v>0</v>
      </c>
      <c r="ABL10" s="1">
        <v>0</v>
      </c>
      <c r="ABM10" s="1">
        <v>0</v>
      </c>
      <c r="ABN10" s="1">
        <v>0</v>
      </c>
      <c r="ABO10" s="1">
        <v>0</v>
      </c>
      <c r="ABP10" s="1">
        <v>0</v>
      </c>
      <c r="ABQ10" s="1">
        <v>0</v>
      </c>
      <c r="ABR10" s="1">
        <v>0</v>
      </c>
      <c r="ABS10" s="1">
        <v>0</v>
      </c>
      <c r="ABT10" s="1">
        <v>0</v>
      </c>
      <c r="ABU10" s="1">
        <v>0</v>
      </c>
      <c r="ABV10" s="1">
        <v>0</v>
      </c>
      <c r="ABW10" s="1">
        <v>0</v>
      </c>
      <c r="ABX10" s="1">
        <v>0</v>
      </c>
      <c r="ABY10" s="1">
        <v>0</v>
      </c>
      <c r="ABZ10" s="1">
        <v>0</v>
      </c>
      <c r="ACA10" s="1">
        <v>0</v>
      </c>
      <c r="ACB10" s="1">
        <v>0</v>
      </c>
      <c r="ACC10" s="1">
        <v>0</v>
      </c>
    </row>
    <row r="11" spans="1:757">
      <c r="A11" s="1" t="s">
        <v>767</v>
      </c>
      <c r="B11" s="1" t="s">
        <v>797</v>
      </c>
      <c r="C11" s="1" t="s">
        <v>788</v>
      </c>
      <c r="D11" s="1" t="s">
        <v>685</v>
      </c>
      <c r="E11" s="1" t="s">
        <v>685</v>
      </c>
      <c r="F11" s="1" t="s">
        <v>3034</v>
      </c>
      <c r="G11" s="77">
        <f t="shared" si="0"/>
        <v>136159</v>
      </c>
      <c r="H11" s="1">
        <v>73613</v>
      </c>
      <c r="I11" s="1">
        <v>241</v>
      </c>
      <c r="J11" s="1">
        <v>30</v>
      </c>
      <c r="K11" s="1">
        <v>42401</v>
      </c>
      <c r="L11" s="1">
        <v>0</v>
      </c>
      <c r="M11" s="1">
        <v>3220</v>
      </c>
      <c r="N11" s="1">
        <v>0</v>
      </c>
      <c r="O11" s="1">
        <v>1401</v>
      </c>
      <c r="P11" s="1">
        <v>83</v>
      </c>
      <c r="Q11" s="1">
        <v>3324</v>
      </c>
      <c r="R11" s="1">
        <v>0</v>
      </c>
      <c r="S11" s="1">
        <v>0</v>
      </c>
      <c r="T11" s="1">
        <v>19</v>
      </c>
      <c r="U11" s="1">
        <v>21</v>
      </c>
      <c r="V11" s="1">
        <v>0</v>
      </c>
      <c r="W11" s="1">
        <v>0</v>
      </c>
      <c r="X11" s="1">
        <v>0</v>
      </c>
      <c r="Y11" s="1">
        <v>302</v>
      </c>
      <c r="Z11" s="1">
        <v>0</v>
      </c>
      <c r="AA11" s="1">
        <v>0</v>
      </c>
      <c r="AB11" s="1">
        <v>0</v>
      </c>
      <c r="AC11" s="1">
        <v>1235</v>
      </c>
      <c r="AD11" s="1">
        <v>43</v>
      </c>
      <c r="AE11" s="1">
        <v>0</v>
      </c>
      <c r="AF11" s="1">
        <v>12</v>
      </c>
      <c r="AG11" s="1">
        <v>0</v>
      </c>
      <c r="AH11" s="1">
        <v>1822</v>
      </c>
      <c r="AI11" s="1">
        <v>1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5</v>
      </c>
      <c r="AR11" s="1">
        <v>781</v>
      </c>
      <c r="AS11" s="1">
        <v>2</v>
      </c>
      <c r="AT11" s="1">
        <v>9</v>
      </c>
      <c r="AU11" s="1">
        <v>0</v>
      </c>
      <c r="AV11" s="1">
        <v>570</v>
      </c>
      <c r="AW11" s="1">
        <v>0</v>
      </c>
      <c r="AX11" s="1">
        <v>1854</v>
      </c>
      <c r="AY11" s="1">
        <v>0</v>
      </c>
      <c r="AZ11" s="1">
        <v>0</v>
      </c>
      <c r="BA11" s="1">
        <v>12</v>
      </c>
      <c r="BB11" s="1">
        <v>0</v>
      </c>
      <c r="BC11" s="1">
        <v>560</v>
      </c>
      <c r="BD11" s="1">
        <v>0</v>
      </c>
      <c r="BE11" s="1">
        <v>0</v>
      </c>
      <c r="BF11" s="1">
        <v>0</v>
      </c>
      <c r="BG11" s="1">
        <v>382</v>
      </c>
      <c r="BH11" s="1">
        <v>1</v>
      </c>
      <c r="BI11" s="1">
        <v>21</v>
      </c>
      <c r="BJ11" s="1">
        <v>0</v>
      </c>
      <c r="BK11" s="1">
        <v>121</v>
      </c>
      <c r="BL11" s="1">
        <v>0</v>
      </c>
      <c r="BM11" s="1">
        <v>0</v>
      </c>
      <c r="BN11" s="1">
        <v>619</v>
      </c>
      <c r="BO11" s="1">
        <v>0</v>
      </c>
      <c r="BP11" s="1">
        <v>470</v>
      </c>
      <c r="BQ11" s="1">
        <v>24</v>
      </c>
      <c r="BR11" s="1">
        <v>173</v>
      </c>
      <c r="BS11" s="1">
        <v>7</v>
      </c>
      <c r="BT11" s="1">
        <v>12</v>
      </c>
      <c r="BU11" s="1">
        <v>0</v>
      </c>
      <c r="BV11" s="1">
        <v>0</v>
      </c>
      <c r="BW11" s="1">
        <v>12</v>
      </c>
      <c r="BX11" s="1">
        <v>0</v>
      </c>
      <c r="BY11" s="1">
        <v>35</v>
      </c>
      <c r="BZ11" s="1">
        <v>0</v>
      </c>
      <c r="CA11" s="1">
        <v>28</v>
      </c>
      <c r="CB11" s="1">
        <v>0</v>
      </c>
      <c r="CC11" s="1">
        <v>17</v>
      </c>
      <c r="CD11" s="1">
        <v>0</v>
      </c>
      <c r="CE11" s="1">
        <v>0</v>
      </c>
      <c r="CF11" s="1">
        <v>0</v>
      </c>
      <c r="CG11" s="1">
        <v>0</v>
      </c>
      <c r="CH11" s="1">
        <v>1</v>
      </c>
      <c r="CI11" s="1">
        <v>2</v>
      </c>
      <c r="CJ11" s="1">
        <v>11</v>
      </c>
      <c r="CK11" s="1">
        <v>409</v>
      </c>
      <c r="CL11" s="1">
        <v>1</v>
      </c>
      <c r="CM11" s="1">
        <v>5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57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116</v>
      </c>
      <c r="DA11" s="1">
        <v>0</v>
      </c>
      <c r="DB11" s="1">
        <v>0</v>
      </c>
      <c r="DC11" s="1">
        <v>0</v>
      </c>
      <c r="DD11" s="1">
        <v>2</v>
      </c>
      <c r="DE11" s="1">
        <v>306</v>
      </c>
      <c r="DF11" s="1">
        <v>0</v>
      </c>
      <c r="DG11" s="1">
        <v>2</v>
      </c>
      <c r="DH11" s="1">
        <v>0</v>
      </c>
      <c r="DI11" s="1">
        <v>0</v>
      </c>
      <c r="DJ11" s="1">
        <v>0</v>
      </c>
      <c r="DK11" s="1">
        <v>0</v>
      </c>
      <c r="DL11" s="1">
        <v>33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87</v>
      </c>
      <c r="DS11" s="1">
        <v>39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1</v>
      </c>
      <c r="DZ11" s="1">
        <v>4</v>
      </c>
      <c r="EA11" s="1">
        <v>0</v>
      </c>
      <c r="EB11" s="1">
        <v>0</v>
      </c>
      <c r="EC11" s="1">
        <v>2</v>
      </c>
      <c r="ED11" s="1">
        <v>3</v>
      </c>
      <c r="EE11" s="1">
        <v>4</v>
      </c>
      <c r="EF11" s="1">
        <v>89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2</v>
      </c>
      <c r="EM11" s="1">
        <v>1</v>
      </c>
      <c r="EN11" s="1">
        <v>0</v>
      </c>
      <c r="EO11" s="1">
        <v>1</v>
      </c>
      <c r="EP11" s="1">
        <v>2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22</v>
      </c>
      <c r="EW11" s="1">
        <v>0</v>
      </c>
      <c r="EX11" s="1">
        <v>0</v>
      </c>
      <c r="EY11" s="1">
        <v>5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12</v>
      </c>
      <c r="FG11" s="1">
        <v>0</v>
      </c>
      <c r="FH11" s="1">
        <v>0</v>
      </c>
      <c r="FI11" s="1">
        <v>2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2</v>
      </c>
      <c r="FP11" s="1">
        <v>0</v>
      </c>
      <c r="FQ11" s="1">
        <v>0</v>
      </c>
      <c r="FR11" s="1">
        <v>0</v>
      </c>
      <c r="FS11" s="1">
        <v>0</v>
      </c>
      <c r="FT11" s="1">
        <v>1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1</v>
      </c>
      <c r="GA11" s="1">
        <v>0</v>
      </c>
      <c r="GB11" s="1">
        <v>0</v>
      </c>
      <c r="GC11" s="1">
        <v>0</v>
      </c>
      <c r="GD11" s="1">
        <v>0</v>
      </c>
      <c r="GE11" s="1">
        <v>1</v>
      </c>
      <c r="GF11" s="1">
        <v>66</v>
      </c>
      <c r="GG11" s="1">
        <v>0</v>
      </c>
      <c r="GH11" s="1">
        <v>5</v>
      </c>
      <c r="GI11" s="1">
        <v>0</v>
      </c>
      <c r="GJ11" s="1">
        <v>1</v>
      </c>
      <c r="GK11" s="1">
        <v>0</v>
      </c>
      <c r="GL11" s="1">
        <v>0</v>
      </c>
      <c r="GM11" s="1">
        <v>0</v>
      </c>
      <c r="GN11" s="1">
        <v>1</v>
      </c>
      <c r="GO11" s="1">
        <v>0</v>
      </c>
      <c r="GP11" s="1">
        <v>0</v>
      </c>
      <c r="GQ11" s="1">
        <v>0</v>
      </c>
      <c r="GR11" s="1">
        <v>0</v>
      </c>
      <c r="GS11" s="1">
        <v>26</v>
      </c>
      <c r="GT11" s="1">
        <v>0</v>
      </c>
      <c r="GU11" s="1">
        <v>0</v>
      </c>
      <c r="GV11" s="1">
        <v>14</v>
      </c>
      <c r="GW11" s="1">
        <v>0</v>
      </c>
      <c r="GX11" s="1">
        <v>0</v>
      </c>
      <c r="GY11" s="1">
        <v>15</v>
      </c>
      <c r="GZ11" s="1">
        <v>0</v>
      </c>
      <c r="HA11" s="1">
        <v>0</v>
      </c>
      <c r="HB11" s="1">
        <v>1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7</v>
      </c>
      <c r="HI11" s="1">
        <v>2</v>
      </c>
      <c r="HJ11" s="1">
        <v>0</v>
      </c>
      <c r="HK11" s="1">
        <v>1</v>
      </c>
      <c r="HL11" s="1">
        <v>1</v>
      </c>
      <c r="HM11" s="1">
        <v>104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25</v>
      </c>
      <c r="HV11" s="1">
        <v>0</v>
      </c>
      <c r="HW11" s="1">
        <v>0</v>
      </c>
      <c r="HX11" s="1">
        <v>39</v>
      </c>
      <c r="HY11" s="1">
        <v>82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24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1</v>
      </c>
      <c r="IR11" s="1">
        <v>3</v>
      </c>
      <c r="IS11" s="1">
        <v>0</v>
      </c>
      <c r="IT11" s="1">
        <v>0</v>
      </c>
      <c r="IU11" s="1">
        <v>0</v>
      </c>
      <c r="IV11" s="1">
        <v>31</v>
      </c>
      <c r="IW11" s="1">
        <v>0</v>
      </c>
      <c r="IX11" s="1">
        <v>29</v>
      </c>
      <c r="IY11" s="1">
        <v>1</v>
      </c>
      <c r="IZ11" s="1">
        <v>0</v>
      </c>
      <c r="JA11" s="1">
        <v>0</v>
      </c>
      <c r="JB11" s="1">
        <v>0</v>
      </c>
      <c r="JC11" s="1">
        <v>1</v>
      </c>
      <c r="JD11" s="1">
        <v>0</v>
      </c>
      <c r="JE11" s="1">
        <v>0</v>
      </c>
      <c r="JF11" s="1">
        <v>0</v>
      </c>
      <c r="JG11" s="1">
        <v>34</v>
      </c>
      <c r="JH11" s="1">
        <v>0</v>
      </c>
      <c r="JI11" s="1">
        <v>1</v>
      </c>
      <c r="JJ11" s="1">
        <v>0</v>
      </c>
      <c r="JK11" s="1">
        <v>0</v>
      </c>
      <c r="JL11" s="1">
        <v>11</v>
      </c>
      <c r="JM11" s="1">
        <v>0</v>
      </c>
      <c r="JN11" s="1">
        <v>0</v>
      </c>
      <c r="JO11" s="1">
        <v>19</v>
      </c>
      <c r="JP11" s="1">
        <v>0</v>
      </c>
      <c r="JQ11" s="1">
        <v>0</v>
      </c>
      <c r="JR11" s="1">
        <v>0</v>
      </c>
      <c r="JS11" s="1">
        <v>0</v>
      </c>
      <c r="JT11" s="1">
        <v>2</v>
      </c>
      <c r="JU11" s="1">
        <v>1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14</v>
      </c>
      <c r="KB11" s="1">
        <v>1</v>
      </c>
      <c r="KC11" s="1">
        <v>0</v>
      </c>
      <c r="KD11" s="1">
        <v>0</v>
      </c>
      <c r="KE11" s="1">
        <v>1</v>
      </c>
      <c r="KF11" s="1">
        <v>0</v>
      </c>
      <c r="KG11" s="1">
        <v>0</v>
      </c>
      <c r="KH11" s="1">
        <v>0</v>
      </c>
      <c r="KI11" s="1">
        <v>3</v>
      </c>
      <c r="KJ11" s="1">
        <v>0</v>
      </c>
      <c r="KK11" s="1">
        <v>14</v>
      </c>
      <c r="KL11" s="1">
        <v>0</v>
      </c>
      <c r="KM11" s="1">
        <v>40</v>
      </c>
      <c r="KN11" s="1">
        <v>12</v>
      </c>
      <c r="KO11" s="1">
        <v>0</v>
      </c>
      <c r="KP11" s="1">
        <v>0</v>
      </c>
      <c r="KQ11" s="1">
        <v>12</v>
      </c>
      <c r="KR11" s="1">
        <v>5</v>
      </c>
      <c r="KS11" s="1">
        <v>29</v>
      </c>
      <c r="KT11" s="1">
        <v>0</v>
      </c>
      <c r="KU11" s="1">
        <v>0</v>
      </c>
      <c r="KV11" s="1">
        <v>49</v>
      </c>
      <c r="KW11" s="1">
        <v>0</v>
      </c>
      <c r="KX11" s="1">
        <v>0</v>
      </c>
      <c r="KY11" s="1">
        <v>0</v>
      </c>
      <c r="KZ11" s="1">
        <v>21</v>
      </c>
      <c r="LA11" s="1">
        <v>0</v>
      </c>
      <c r="LB11" s="1">
        <v>0</v>
      </c>
      <c r="LC11" s="1">
        <v>0</v>
      </c>
      <c r="LD11" s="1">
        <v>0</v>
      </c>
      <c r="LE11" s="1">
        <v>7</v>
      </c>
      <c r="LF11" s="1">
        <v>6</v>
      </c>
      <c r="LG11" s="1">
        <v>1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1</v>
      </c>
      <c r="ME11" s="1">
        <v>0</v>
      </c>
      <c r="MF11" s="1">
        <v>0</v>
      </c>
      <c r="MG11" s="1">
        <v>0</v>
      </c>
      <c r="MH11" s="1">
        <v>10</v>
      </c>
      <c r="MI11" s="1">
        <v>4</v>
      </c>
      <c r="MJ11" s="1">
        <v>4</v>
      </c>
      <c r="MK11" s="1">
        <v>0</v>
      </c>
      <c r="ML11" s="1">
        <v>0</v>
      </c>
      <c r="MM11" s="1">
        <v>0</v>
      </c>
      <c r="MN11" s="1">
        <v>19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41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24</v>
      </c>
      <c r="NP11" s="1">
        <v>0</v>
      </c>
      <c r="NQ11" s="1">
        <v>0</v>
      </c>
      <c r="NR11" s="1">
        <v>0</v>
      </c>
      <c r="NS11" s="1">
        <v>0</v>
      </c>
      <c r="NT11" s="1">
        <v>2</v>
      </c>
      <c r="NU11" s="1">
        <v>0</v>
      </c>
      <c r="NV11" s="1">
        <v>5</v>
      </c>
      <c r="NW11" s="1">
        <v>0</v>
      </c>
      <c r="NX11" s="1">
        <v>0</v>
      </c>
      <c r="NY11" s="1">
        <v>0</v>
      </c>
      <c r="NZ11" s="1">
        <v>9</v>
      </c>
      <c r="OA11" s="1">
        <v>5</v>
      </c>
      <c r="OB11" s="1">
        <v>0</v>
      </c>
      <c r="OC11" s="1">
        <v>0</v>
      </c>
      <c r="OD11" s="1">
        <v>15</v>
      </c>
      <c r="OE11" s="1">
        <v>0</v>
      </c>
      <c r="OF11" s="1">
        <v>3</v>
      </c>
      <c r="OG11" s="1">
        <v>21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15</v>
      </c>
      <c r="ON11" s="1">
        <v>14</v>
      </c>
      <c r="OO11" s="1">
        <v>0</v>
      </c>
      <c r="OP11" s="1">
        <v>1</v>
      </c>
      <c r="OQ11" s="1">
        <v>0</v>
      </c>
      <c r="OR11" s="1">
        <v>0</v>
      </c>
      <c r="OS11" s="1">
        <v>0</v>
      </c>
      <c r="OT11" s="1">
        <v>0</v>
      </c>
      <c r="OU11" s="1">
        <v>21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17</v>
      </c>
      <c r="PD11" s="1">
        <v>3</v>
      </c>
      <c r="PE11" s="1">
        <v>0</v>
      </c>
      <c r="PF11" s="1">
        <v>0</v>
      </c>
      <c r="PG11" s="1">
        <v>0</v>
      </c>
      <c r="PH11" s="1">
        <v>0</v>
      </c>
      <c r="PI11" s="1">
        <v>6</v>
      </c>
      <c r="PJ11" s="1">
        <v>7</v>
      </c>
      <c r="PK11" s="1">
        <v>0</v>
      </c>
      <c r="PL11" s="1">
        <v>0</v>
      </c>
      <c r="PM11" s="1">
        <v>0</v>
      </c>
      <c r="PN11" s="1">
        <v>0</v>
      </c>
      <c r="PO11" s="1">
        <v>0</v>
      </c>
      <c r="PP11" s="1">
        <v>0</v>
      </c>
      <c r="PQ11" s="1">
        <v>0</v>
      </c>
      <c r="PR11" s="1">
        <v>0</v>
      </c>
      <c r="PS11" s="1">
        <v>0</v>
      </c>
      <c r="PT11" s="1">
        <v>29</v>
      </c>
      <c r="PU11" s="1">
        <v>0</v>
      </c>
      <c r="PV11" s="1">
        <v>0</v>
      </c>
      <c r="PW11" s="1">
        <v>0</v>
      </c>
      <c r="PX11" s="1">
        <v>0</v>
      </c>
      <c r="PY11" s="1">
        <v>0</v>
      </c>
      <c r="PZ11" s="1">
        <v>1</v>
      </c>
      <c r="QA11" s="1">
        <v>11</v>
      </c>
      <c r="QB11" s="1">
        <v>7</v>
      </c>
      <c r="QC11" s="1">
        <v>2</v>
      </c>
      <c r="QD11" s="1">
        <v>5</v>
      </c>
      <c r="QE11" s="1">
        <v>11</v>
      </c>
      <c r="QF11" s="1">
        <v>0</v>
      </c>
      <c r="QG11" s="1">
        <v>0</v>
      </c>
      <c r="QH11" s="1">
        <v>0</v>
      </c>
      <c r="QI11" s="1">
        <v>0</v>
      </c>
      <c r="QJ11" s="1">
        <v>0</v>
      </c>
      <c r="QK11" s="1">
        <v>2</v>
      </c>
      <c r="QL11" s="1">
        <v>0</v>
      </c>
      <c r="QM11" s="1">
        <v>11</v>
      </c>
      <c r="QN11" s="1">
        <v>10</v>
      </c>
      <c r="QO11" s="1">
        <v>0</v>
      </c>
      <c r="QP11" s="1">
        <v>0</v>
      </c>
      <c r="QQ11" s="1">
        <v>0</v>
      </c>
      <c r="QR11" s="1">
        <v>3</v>
      </c>
      <c r="QS11" s="1">
        <v>0</v>
      </c>
      <c r="QT11" s="1">
        <v>0</v>
      </c>
      <c r="QU11" s="1">
        <v>0</v>
      </c>
      <c r="QV11" s="1">
        <v>0</v>
      </c>
      <c r="QW11" s="1">
        <v>1</v>
      </c>
      <c r="QX11" s="1">
        <v>3</v>
      </c>
      <c r="QY11" s="1">
        <v>0</v>
      </c>
      <c r="QZ11" s="1">
        <v>0</v>
      </c>
      <c r="RA11" s="1">
        <v>0</v>
      </c>
      <c r="RB11" s="1">
        <v>0</v>
      </c>
      <c r="RC11" s="1">
        <v>0</v>
      </c>
      <c r="RD11" s="1">
        <v>2</v>
      </c>
      <c r="RE11" s="1">
        <v>4</v>
      </c>
      <c r="RF11" s="1">
        <v>19</v>
      </c>
      <c r="RG11" s="1">
        <v>0</v>
      </c>
      <c r="RH11" s="1">
        <v>0</v>
      </c>
      <c r="RI11" s="1">
        <v>0</v>
      </c>
      <c r="RJ11" s="1">
        <v>0</v>
      </c>
      <c r="RK11" s="1">
        <v>0</v>
      </c>
      <c r="RL11" s="1">
        <v>0</v>
      </c>
      <c r="RM11" s="1">
        <v>0</v>
      </c>
      <c r="RN11" s="1">
        <v>13</v>
      </c>
      <c r="RO11" s="1">
        <v>5</v>
      </c>
      <c r="RP11" s="1">
        <v>0</v>
      </c>
      <c r="RQ11" s="1">
        <v>0</v>
      </c>
      <c r="RR11" s="1">
        <v>0</v>
      </c>
      <c r="RS11" s="1">
        <v>0</v>
      </c>
      <c r="RT11" s="1">
        <v>0</v>
      </c>
      <c r="RU11" s="1">
        <v>7</v>
      </c>
      <c r="RV11" s="1">
        <v>0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6</v>
      </c>
      <c r="SC11" s="1">
        <v>0</v>
      </c>
      <c r="SD11" s="1">
        <v>1</v>
      </c>
      <c r="SE11" s="1">
        <v>9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0</v>
      </c>
      <c r="SN11" s="1">
        <v>9</v>
      </c>
      <c r="SO11" s="1">
        <v>14</v>
      </c>
      <c r="SP11" s="1">
        <v>5</v>
      </c>
      <c r="SQ11" s="1">
        <v>6</v>
      </c>
      <c r="SR11" s="1">
        <v>2</v>
      </c>
      <c r="SS11" s="1">
        <v>0</v>
      </c>
      <c r="ST11" s="1">
        <v>0</v>
      </c>
      <c r="SU11" s="1">
        <v>0</v>
      </c>
      <c r="SV11" s="1">
        <v>0</v>
      </c>
      <c r="SW11" s="1">
        <v>4</v>
      </c>
      <c r="SX11" s="1">
        <v>0</v>
      </c>
      <c r="SY11" s="1">
        <v>1</v>
      </c>
      <c r="SZ11" s="1">
        <v>1</v>
      </c>
      <c r="TA11" s="1">
        <v>0</v>
      </c>
      <c r="TB11" s="1">
        <v>0</v>
      </c>
      <c r="TC11" s="1">
        <v>0</v>
      </c>
      <c r="TD11" s="1">
        <v>0</v>
      </c>
      <c r="TE11" s="1">
        <v>0</v>
      </c>
      <c r="TF11" s="1">
        <v>0</v>
      </c>
      <c r="TG11" s="1">
        <v>0</v>
      </c>
      <c r="TH11" s="1">
        <v>0</v>
      </c>
      <c r="TI11" s="1">
        <v>13</v>
      </c>
      <c r="TJ11" s="1">
        <v>3</v>
      </c>
      <c r="TK11" s="1">
        <v>0</v>
      </c>
      <c r="TL11" s="1">
        <v>9</v>
      </c>
      <c r="TM11" s="1">
        <v>0</v>
      </c>
      <c r="TN11" s="1">
        <v>0</v>
      </c>
      <c r="TO11" s="1">
        <v>0</v>
      </c>
      <c r="TP11" s="1">
        <v>4</v>
      </c>
      <c r="TQ11" s="1">
        <v>0</v>
      </c>
      <c r="TR11" s="1">
        <v>16</v>
      </c>
      <c r="TS11" s="1">
        <v>0</v>
      </c>
      <c r="TT11" s="1">
        <v>0</v>
      </c>
      <c r="TU11" s="1">
        <v>0</v>
      </c>
      <c r="TV11" s="1">
        <v>0</v>
      </c>
      <c r="TW11" s="1">
        <v>0</v>
      </c>
      <c r="TX11" s="1">
        <v>5</v>
      </c>
      <c r="TY11" s="1">
        <v>0</v>
      </c>
      <c r="TZ11" s="1">
        <v>1</v>
      </c>
      <c r="UA11" s="1">
        <v>0</v>
      </c>
      <c r="UB11" s="1">
        <v>0</v>
      </c>
      <c r="UC11" s="1">
        <v>0</v>
      </c>
      <c r="UD11" s="1">
        <v>0</v>
      </c>
      <c r="UE11" s="1">
        <v>0</v>
      </c>
      <c r="UF11" s="1">
        <v>2</v>
      </c>
      <c r="UG11" s="1">
        <v>7</v>
      </c>
      <c r="UH11" s="1">
        <v>6</v>
      </c>
      <c r="UI11" s="1">
        <v>4</v>
      </c>
      <c r="UJ11" s="1">
        <v>9</v>
      </c>
      <c r="UK11" s="1">
        <v>2</v>
      </c>
      <c r="UL11" s="1">
        <v>0</v>
      </c>
      <c r="UM11" s="1">
        <v>4</v>
      </c>
      <c r="UN11" s="1">
        <v>6</v>
      </c>
      <c r="UO11" s="1">
        <v>0</v>
      </c>
      <c r="UP11" s="1">
        <v>0</v>
      </c>
      <c r="UQ11" s="1">
        <v>1</v>
      </c>
      <c r="UR11" s="1">
        <v>0</v>
      </c>
      <c r="US11" s="1">
        <v>0</v>
      </c>
      <c r="UT11" s="1">
        <v>0</v>
      </c>
      <c r="UU11" s="1">
        <v>0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5</v>
      </c>
      <c r="VC11" s="1">
        <v>0</v>
      </c>
      <c r="VD11" s="1">
        <v>0</v>
      </c>
      <c r="VE11" s="1">
        <v>0</v>
      </c>
      <c r="VF11" s="1">
        <v>0</v>
      </c>
      <c r="VG11" s="1">
        <v>0</v>
      </c>
      <c r="VH11" s="1">
        <v>0</v>
      </c>
      <c r="VI11" s="1">
        <v>0</v>
      </c>
      <c r="VJ11" s="1">
        <v>0</v>
      </c>
      <c r="VK11" s="1">
        <v>0</v>
      </c>
      <c r="VL11" s="1">
        <v>0</v>
      </c>
      <c r="VM11" s="1">
        <v>0</v>
      </c>
      <c r="VN11" s="1">
        <v>4</v>
      </c>
      <c r="VO11" s="1">
        <v>0</v>
      </c>
      <c r="VP11" s="1">
        <v>0</v>
      </c>
      <c r="VQ11" s="1">
        <v>0</v>
      </c>
      <c r="VR11" s="1">
        <v>9</v>
      </c>
      <c r="VS11" s="1">
        <v>4</v>
      </c>
      <c r="VT11" s="1">
        <v>5</v>
      </c>
      <c r="VU11" s="1">
        <v>3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0</v>
      </c>
      <c r="WB11" s="1">
        <v>0</v>
      </c>
      <c r="WC11" s="1">
        <v>0</v>
      </c>
      <c r="WD11" s="1">
        <v>1</v>
      </c>
      <c r="WE11" s="1">
        <v>0</v>
      </c>
      <c r="WF11" s="1">
        <v>3</v>
      </c>
      <c r="WG11" s="1">
        <v>0</v>
      </c>
      <c r="WH11" s="1">
        <v>0</v>
      </c>
      <c r="WI11" s="1">
        <v>6</v>
      </c>
      <c r="WJ11" s="1">
        <v>7</v>
      </c>
      <c r="WK11" s="1">
        <v>6</v>
      </c>
      <c r="WL11" s="1">
        <v>2</v>
      </c>
      <c r="WM11" s="1">
        <v>1</v>
      </c>
      <c r="WN11" s="1">
        <v>1</v>
      </c>
      <c r="WO11" s="1">
        <v>0</v>
      </c>
      <c r="WP11" s="1">
        <v>0</v>
      </c>
      <c r="WQ11" s="1">
        <v>0</v>
      </c>
      <c r="WR11" s="1">
        <v>0</v>
      </c>
      <c r="WS11" s="1">
        <v>0</v>
      </c>
      <c r="WT11" s="1">
        <v>0</v>
      </c>
      <c r="WU11" s="1">
        <v>0</v>
      </c>
      <c r="WV11" s="1">
        <v>0</v>
      </c>
      <c r="WW11" s="1">
        <v>0</v>
      </c>
      <c r="WX11" s="1">
        <v>0</v>
      </c>
      <c r="WY11" s="1">
        <v>2</v>
      </c>
      <c r="WZ11" s="1">
        <v>0</v>
      </c>
      <c r="XA11" s="1">
        <v>1</v>
      </c>
      <c r="XB11" s="1">
        <v>2</v>
      </c>
      <c r="XC11" s="1">
        <v>0</v>
      </c>
      <c r="XD11" s="1">
        <v>1</v>
      </c>
      <c r="XE11" s="1">
        <v>0</v>
      </c>
      <c r="XF11" s="1">
        <v>0</v>
      </c>
      <c r="XG11" s="1">
        <v>0</v>
      </c>
      <c r="XH11" s="1">
        <v>0</v>
      </c>
      <c r="XI11" s="1">
        <v>0</v>
      </c>
      <c r="XJ11" s="1">
        <v>0</v>
      </c>
      <c r="XK11" s="1">
        <v>0</v>
      </c>
      <c r="XL11" s="1">
        <v>0</v>
      </c>
      <c r="XM11" s="1">
        <v>2</v>
      </c>
      <c r="XN11" s="1">
        <v>0</v>
      </c>
      <c r="XO11" s="1">
        <v>6</v>
      </c>
      <c r="XP11" s="1">
        <v>3</v>
      </c>
      <c r="XQ11" s="1">
        <v>7</v>
      </c>
      <c r="XR11" s="1">
        <v>1</v>
      </c>
      <c r="XS11" s="1">
        <v>0</v>
      </c>
      <c r="XT11" s="1">
        <v>0</v>
      </c>
      <c r="XU11" s="1">
        <v>0</v>
      </c>
      <c r="XV11" s="1">
        <v>0</v>
      </c>
      <c r="XW11" s="1">
        <v>0</v>
      </c>
      <c r="XX11" s="1">
        <v>0</v>
      </c>
      <c r="XY11" s="1">
        <v>0</v>
      </c>
      <c r="XZ11" s="1">
        <v>0</v>
      </c>
      <c r="YA11" s="1">
        <v>0</v>
      </c>
      <c r="YB11" s="1">
        <v>0</v>
      </c>
      <c r="YC11" s="1">
        <v>4</v>
      </c>
      <c r="YD11" s="1">
        <v>0</v>
      </c>
      <c r="YE11" s="1">
        <v>0</v>
      </c>
      <c r="YF11" s="1">
        <v>1</v>
      </c>
      <c r="YG11" s="1">
        <v>1</v>
      </c>
      <c r="YH11" s="1">
        <v>3</v>
      </c>
      <c r="YI11" s="1">
        <v>2</v>
      </c>
      <c r="YJ11" s="1">
        <v>1</v>
      </c>
      <c r="YK11" s="1">
        <v>1</v>
      </c>
      <c r="YL11" s="1">
        <v>1</v>
      </c>
      <c r="YM11" s="1">
        <v>0</v>
      </c>
      <c r="YN11" s="1">
        <v>0</v>
      </c>
      <c r="YO11" s="1">
        <v>0</v>
      </c>
      <c r="YP11" s="1">
        <v>0</v>
      </c>
      <c r="YQ11" s="1">
        <v>0</v>
      </c>
      <c r="YR11" s="1">
        <v>0</v>
      </c>
      <c r="YS11" s="1">
        <v>0</v>
      </c>
      <c r="YT11" s="1">
        <v>0</v>
      </c>
      <c r="YU11" s="1">
        <v>0</v>
      </c>
      <c r="YV11" s="1">
        <v>0</v>
      </c>
      <c r="YW11" s="1">
        <v>0</v>
      </c>
      <c r="YX11" s="1">
        <v>0</v>
      </c>
      <c r="YY11" s="1">
        <v>0</v>
      </c>
      <c r="YZ11" s="1">
        <v>0</v>
      </c>
      <c r="ZA11" s="1">
        <v>0</v>
      </c>
      <c r="ZB11" s="1">
        <v>0</v>
      </c>
      <c r="ZC11" s="1">
        <v>2</v>
      </c>
      <c r="ZD11" s="1">
        <v>0</v>
      </c>
      <c r="ZE11" s="1">
        <v>0</v>
      </c>
      <c r="ZF11" s="1">
        <v>0</v>
      </c>
      <c r="ZG11" s="1">
        <v>3</v>
      </c>
      <c r="ZH11" s="1">
        <v>0</v>
      </c>
      <c r="ZI11" s="1">
        <v>2</v>
      </c>
      <c r="ZJ11" s="1">
        <v>0</v>
      </c>
      <c r="ZK11" s="1">
        <v>0</v>
      </c>
      <c r="ZL11" s="1">
        <v>0</v>
      </c>
      <c r="ZM11" s="1">
        <v>0</v>
      </c>
      <c r="ZN11" s="1">
        <v>0</v>
      </c>
      <c r="ZO11" s="1">
        <v>0</v>
      </c>
      <c r="ZP11" s="1">
        <v>0</v>
      </c>
      <c r="ZQ11" s="1">
        <v>0</v>
      </c>
      <c r="ZR11" s="1">
        <v>0</v>
      </c>
      <c r="ZS11" s="1">
        <v>0</v>
      </c>
      <c r="ZT11" s="1">
        <v>0</v>
      </c>
      <c r="ZU11" s="1">
        <v>0</v>
      </c>
      <c r="ZV11" s="1">
        <v>3</v>
      </c>
      <c r="ZW11" s="1">
        <v>0</v>
      </c>
      <c r="ZX11" s="1">
        <v>4</v>
      </c>
      <c r="ZY11" s="1">
        <v>2</v>
      </c>
      <c r="ZZ11" s="1">
        <v>1</v>
      </c>
      <c r="AAA11" s="1">
        <v>0</v>
      </c>
      <c r="AAB11" s="1">
        <v>0</v>
      </c>
      <c r="AAC11" s="1">
        <v>0</v>
      </c>
      <c r="AAD11" s="1">
        <v>0</v>
      </c>
      <c r="AAE11" s="1">
        <v>0</v>
      </c>
      <c r="AAF11" s="1">
        <v>0</v>
      </c>
      <c r="AAG11" s="1">
        <v>0</v>
      </c>
      <c r="AAH11" s="1">
        <v>0</v>
      </c>
      <c r="AAI11" s="1">
        <v>0</v>
      </c>
      <c r="AAJ11" s="1">
        <v>0</v>
      </c>
      <c r="AAK11" s="1">
        <v>1</v>
      </c>
      <c r="AAL11" s="1">
        <v>0</v>
      </c>
      <c r="AAM11" s="1">
        <v>0</v>
      </c>
      <c r="AAN11" s="1">
        <v>2</v>
      </c>
      <c r="AAO11" s="1">
        <v>3</v>
      </c>
      <c r="AAP11" s="1">
        <v>3</v>
      </c>
      <c r="AAQ11" s="1">
        <v>3</v>
      </c>
      <c r="AAR11" s="1">
        <v>3</v>
      </c>
      <c r="AAS11" s="1">
        <v>3</v>
      </c>
      <c r="AAT11" s="1">
        <v>3</v>
      </c>
      <c r="AAU11" s="1">
        <v>3</v>
      </c>
      <c r="AAV11" s="1">
        <v>2</v>
      </c>
      <c r="AAW11" s="1">
        <v>0</v>
      </c>
      <c r="AAX11" s="1">
        <v>0</v>
      </c>
      <c r="AAY11" s="1">
        <v>0</v>
      </c>
      <c r="AAZ11" s="1">
        <v>0</v>
      </c>
      <c r="ABA11" s="1">
        <v>0</v>
      </c>
      <c r="ABB11" s="1">
        <v>0</v>
      </c>
      <c r="ABC11" s="1">
        <v>0</v>
      </c>
      <c r="ABD11" s="1">
        <v>0</v>
      </c>
      <c r="ABE11" s="1">
        <v>0</v>
      </c>
      <c r="ABF11" s="1">
        <v>0</v>
      </c>
      <c r="ABG11" s="1">
        <v>0</v>
      </c>
      <c r="ABH11" s="1">
        <v>0</v>
      </c>
      <c r="ABI11" s="1">
        <v>0</v>
      </c>
      <c r="ABJ11" s="1">
        <v>0</v>
      </c>
      <c r="ABK11" s="1">
        <v>0</v>
      </c>
      <c r="ABL11" s="1">
        <v>0</v>
      </c>
      <c r="ABM11" s="1">
        <v>0</v>
      </c>
      <c r="ABN11" s="1">
        <v>0</v>
      </c>
      <c r="ABO11" s="1">
        <v>0</v>
      </c>
      <c r="ABP11" s="1">
        <v>2</v>
      </c>
      <c r="ABQ11" s="1">
        <v>2</v>
      </c>
      <c r="ABR11" s="1">
        <v>1</v>
      </c>
      <c r="ABS11" s="1">
        <v>0</v>
      </c>
      <c r="ABT11" s="1">
        <v>0</v>
      </c>
      <c r="ABU11" s="1">
        <v>0</v>
      </c>
      <c r="ABV11" s="1">
        <v>0</v>
      </c>
      <c r="ABW11" s="1">
        <v>0</v>
      </c>
      <c r="ABX11" s="1">
        <v>0</v>
      </c>
      <c r="ABY11" s="1">
        <v>0</v>
      </c>
      <c r="ABZ11" s="1">
        <v>0</v>
      </c>
      <c r="ACA11" s="1">
        <v>0</v>
      </c>
      <c r="ACB11" s="1">
        <v>0</v>
      </c>
      <c r="ACC11" s="1">
        <v>0</v>
      </c>
    </row>
    <row r="12" spans="1:757">
      <c r="A12" s="1" t="s">
        <v>766</v>
      </c>
      <c r="B12" s="1" t="s">
        <v>796</v>
      </c>
      <c r="C12" s="1" t="s">
        <v>788</v>
      </c>
      <c r="D12" s="1" t="s">
        <v>685</v>
      </c>
      <c r="E12" s="1" t="s">
        <v>685</v>
      </c>
      <c r="F12" s="1" t="s">
        <v>3034</v>
      </c>
      <c r="G12" s="77">
        <f t="shared" si="0"/>
        <v>125403</v>
      </c>
      <c r="H12" s="1">
        <v>1966</v>
      </c>
      <c r="I12" s="1">
        <v>805</v>
      </c>
      <c r="J12" s="1">
        <v>109823</v>
      </c>
      <c r="K12" s="1">
        <v>1581</v>
      </c>
      <c r="L12" s="1">
        <v>0</v>
      </c>
      <c r="M12" s="1">
        <v>302</v>
      </c>
      <c r="N12" s="1">
        <v>0</v>
      </c>
      <c r="O12" s="1">
        <v>6</v>
      </c>
      <c r="P12" s="1">
        <v>17</v>
      </c>
      <c r="Q12" s="1">
        <v>3339</v>
      </c>
      <c r="R12" s="1">
        <v>5</v>
      </c>
      <c r="S12" s="1">
        <v>0</v>
      </c>
      <c r="T12" s="1">
        <v>31</v>
      </c>
      <c r="U12" s="1">
        <v>48</v>
      </c>
      <c r="V12" s="1">
        <v>1</v>
      </c>
      <c r="W12" s="1">
        <v>0</v>
      </c>
      <c r="X12" s="1">
        <v>0</v>
      </c>
      <c r="Y12" s="1">
        <v>92</v>
      </c>
      <c r="Z12" s="1">
        <v>0</v>
      </c>
      <c r="AA12" s="1">
        <v>0</v>
      </c>
      <c r="AB12" s="1">
        <v>2</v>
      </c>
      <c r="AC12" s="1">
        <v>1652</v>
      </c>
      <c r="AD12" s="1">
        <v>26</v>
      </c>
      <c r="AE12" s="1">
        <v>0</v>
      </c>
      <c r="AF12" s="1">
        <v>52</v>
      </c>
      <c r="AG12" s="1">
        <v>0</v>
      </c>
      <c r="AH12" s="1">
        <v>573</v>
      </c>
      <c r="AI12" s="1">
        <v>1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1</v>
      </c>
      <c r="AP12" s="1">
        <v>0</v>
      </c>
      <c r="AQ12" s="1">
        <v>8</v>
      </c>
      <c r="AR12" s="1">
        <v>243</v>
      </c>
      <c r="AS12" s="1">
        <v>0</v>
      </c>
      <c r="AT12" s="1">
        <v>4</v>
      </c>
      <c r="AU12" s="1">
        <v>0</v>
      </c>
      <c r="AV12" s="1">
        <v>1</v>
      </c>
      <c r="AW12" s="1">
        <v>0</v>
      </c>
      <c r="AX12" s="1">
        <v>42</v>
      </c>
      <c r="AY12" s="1">
        <v>0</v>
      </c>
      <c r="AZ12" s="1">
        <v>0</v>
      </c>
      <c r="BA12" s="1">
        <v>13</v>
      </c>
      <c r="BB12" s="1">
        <v>0</v>
      </c>
      <c r="BC12" s="1">
        <v>2</v>
      </c>
      <c r="BD12" s="1">
        <v>0</v>
      </c>
      <c r="BE12" s="1">
        <v>3</v>
      </c>
      <c r="BF12" s="1">
        <v>0</v>
      </c>
      <c r="BG12" s="1">
        <v>103</v>
      </c>
      <c r="BH12" s="1">
        <v>0</v>
      </c>
      <c r="BI12" s="1">
        <v>65</v>
      </c>
      <c r="BJ12" s="1">
        <v>0</v>
      </c>
      <c r="BK12" s="1">
        <v>175</v>
      </c>
      <c r="BL12" s="1">
        <v>0</v>
      </c>
      <c r="BM12" s="1">
        <v>0</v>
      </c>
      <c r="BN12" s="1">
        <v>249</v>
      </c>
      <c r="BO12" s="1">
        <v>0</v>
      </c>
      <c r="BP12" s="1">
        <v>24</v>
      </c>
      <c r="BQ12" s="1">
        <v>19</v>
      </c>
      <c r="BR12" s="1">
        <v>0</v>
      </c>
      <c r="BS12" s="1">
        <v>4</v>
      </c>
      <c r="BT12" s="1">
        <v>23</v>
      </c>
      <c r="BU12" s="1">
        <v>0</v>
      </c>
      <c r="BV12" s="1">
        <v>0</v>
      </c>
      <c r="BW12" s="1">
        <v>15</v>
      </c>
      <c r="BX12" s="1">
        <v>0</v>
      </c>
      <c r="BY12" s="1">
        <v>67</v>
      </c>
      <c r="BZ12" s="1">
        <v>1</v>
      </c>
      <c r="CA12" s="1">
        <v>19</v>
      </c>
      <c r="CB12" s="1">
        <v>0</v>
      </c>
      <c r="CC12" s="1">
        <v>20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24</v>
      </c>
      <c r="CK12" s="1">
        <v>157</v>
      </c>
      <c r="CL12" s="1">
        <v>1</v>
      </c>
      <c r="CM12" s="1">
        <v>13</v>
      </c>
      <c r="CN12" s="1">
        <v>0</v>
      </c>
      <c r="CO12" s="1">
        <v>0</v>
      </c>
      <c r="CP12" s="1">
        <v>0</v>
      </c>
      <c r="CQ12" s="1">
        <v>3</v>
      </c>
      <c r="CR12" s="1">
        <v>0</v>
      </c>
      <c r="CS12" s="1">
        <v>180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547</v>
      </c>
      <c r="CZ12" s="1">
        <v>123</v>
      </c>
      <c r="DA12" s="1">
        <v>1</v>
      </c>
      <c r="DB12" s="1">
        <v>0</v>
      </c>
      <c r="DC12" s="1">
        <v>0</v>
      </c>
      <c r="DD12" s="1">
        <v>1</v>
      </c>
      <c r="DE12" s="1">
        <v>0</v>
      </c>
      <c r="DF12" s="1">
        <v>0</v>
      </c>
      <c r="DG12" s="1">
        <v>3</v>
      </c>
      <c r="DH12" s="1">
        <v>0</v>
      </c>
      <c r="DI12" s="1">
        <v>2</v>
      </c>
      <c r="DJ12" s="1">
        <v>501</v>
      </c>
      <c r="DK12" s="1">
        <v>0</v>
      </c>
      <c r="DL12" s="1">
        <v>51</v>
      </c>
      <c r="DM12" s="1">
        <v>1</v>
      </c>
      <c r="DN12" s="1">
        <v>0</v>
      </c>
      <c r="DO12" s="1">
        <v>5</v>
      </c>
      <c r="DP12" s="1">
        <v>11</v>
      </c>
      <c r="DQ12" s="1">
        <v>0</v>
      </c>
      <c r="DR12" s="1">
        <v>83</v>
      </c>
      <c r="DS12" s="1">
        <v>83</v>
      </c>
      <c r="DT12" s="1">
        <v>0</v>
      </c>
      <c r="DU12" s="1">
        <v>417</v>
      </c>
      <c r="DV12" s="1">
        <v>0</v>
      </c>
      <c r="DW12" s="1">
        <v>0</v>
      </c>
      <c r="DX12" s="1">
        <v>1</v>
      </c>
      <c r="DY12" s="1">
        <v>6</v>
      </c>
      <c r="DZ12" s="1">
        <v>8</v>
      </c>
      <c r="EA12" s="1">
        <v>0</v>
      </c>
      <c r="EB12" s="1">
        <v>0</v>
      </c>
      <c r="EC12" s="1">
        <v>0</v>
      </c>
      <c r="ED12" s="1">
        <v>2</v>
      </c>
      <c r="EE12" s="1">
        <v>4</v>
      </c>
      <c r="EF12" s="1">
        <v>120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1</v>
      </c>
      <c r="EO12" s="1">
        <v>1</v>
      </c>
      <c r="EP12" s="1">
        <v>1</v>
      </c>
      <c r="EQ12" s="1">
        <v>0</v>
      </c>
      <c r="ER12" s="1">
        <v>1</v>
      </c>
      <c r="ES12" s="1">
        <v>0</v>
      </c>
      <c r="ET12" s="1">
        <v>0</v>
      </c>
      <c r="EU12" s="1">
        <v>0</v>
      </c>
      <c r="EV12" s="1">
        <v>27</v>
      </c>
      <c r="EW12" s="1">
        <v>2</v>
      </c>
      <c r="EX12" s="1">
        <v>0</v>
      </c>
      <c r="EY12" s="1">
        <v>11</v>
      </c>
      <c r="EZ12" s="1">
        <v>0</v>
      </c>
      <c r="FA12" s="1">
        <v>3</v>
      </c>
      <c r="FB12" s="1">
        <v>0</v>
      </c>
      <c r="FC12" s="1">
        <v>0</v>
      </c>
      <c r="FD12" s="1">
        <v>1</v>
      </c>
      <c r="FE12" s="1">
        <v>1</v>
      </c>
      <c r="FF12" s="1">
        <v>46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3</v>
      </c>
      <c r="FN12" s="1">
        <v>0</v>
      </c>
      <c r="FO12" s="1">
        <v>0</v>
      </c>
      <c r="FP12" s="1">
        <v>1</v>
      </c>
      <c r="FQ12" s="1">
        <v>0</v>
      </c>
      <c r="FR12" s="1">
        <v>0</v>
      </c>
      <c r="FS12" s="1">
        <v>0</v>
      </c>
      <c r="FT12" s="1">
        <v>1</v>
      </c>
      <c r="FU12" s="1">
        <v>6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</v>
      </c>
      <c r="GB12" s="1">
        <v>6</v>
      </c>
      <c r="GC12" s="1">
        <v>2</v>
      </c>
      <c r="GD12" s="1">
        <v>0</v>
      </c>
      <c r="GE12" s="1">
        <v>0</v>
      </c>
      <c r="GF12" s="1">
        <v>62</v>
      </c>
      <c r="GG12" s="1">
        <v>0</v>
      </c>
      <c r="GH12" s="1">
        <v>15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69</v>
      </c>
      <c r="GT12" s="1">
        <v>3</v>
      </c>
      <c r="GU12" s="1">
        <v>0</v>
      </c>
      <c r="GV12" s="1">
        <v>24</v>
      </c>
      <c r="GW12" s="1">
        <v>1</v>
      </c>
      <c r="GX12" s="1">
        <v>0</v>
      </c>
      <c r="GY12" s="1">
        <v>20</v>
      </c>
      <c r="GZ12" s="1">
        <v>0</v>
      </c>
      <c r="HA12" s="1">
        <v>0</v>
      </c>
      <c r="HB12" s="1">
        <v>9</v>
      </c>
      <c r="HC12" s="1">
        <v>0</v>
      </c>
      <c r="HD12" s="1">
        <v>0</v>
      </c>
      <c r="HE12" s="1">
        <v>0</v>
      </c>
      <c r="HF12" s="1">
        <v>4</v>
      </c>
      <c r="HG12" s="1">
        <v>0</v>
      </c>
      <c r="HH12" s="1">
        <v>4</v>
      </c>
      <c r="HI12" s="1">
        <v>0</v>
      </c>
      <c r="HJ12" s="1">
        <v>0</v>
      </c>
      <c r="HK12" s="1">
        <v>0</v>
      </c>
      <c r="HL12" s="1">
        <v>0</v>
      </c>
      <c r="HM12" s="1">
        <v>8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22</v>
      </c>
      <c r="HV12" s="1">
        <v>2</v>
      </c>
      <c r="HW12" s="1">
        <v>0</v>
      </c>
      <c r="HX12" s="1">
        <v>23</v>
      </c>
      <c r="HY12" s="1">
        <v>39</v>
      </c>
      <c r="HZ12" s="1">
        <v>0</v>
      </c>
      <c r="IA12" s="1">
        <v>0</v>
      </c>
      <c r="IB12" s="1">
        <v>4</v>
      </c>
      <c r="IC12" s="1">
        <v>0</v>
      </c>
      <c r="ID12" s="1">
        <v>1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3</v>
      </c>
      <c r="IK12" s="1">
        <v>0</v>
      </c>
      <c r="IL12" s="1">
        <v>7</v>
      </c>
      <c r="IM12" s="1">
        <v>1</v>
      </c>
      <c r="IN12" s="1">
        <v>0</v>
      </c>
      <c r="IO12" s="1">
        <v>0</v>
      </c>
      <c r="IP12" s="1">
        <v>1</v>
      </c>
      <c r="IQ12" s="1">
        <v>0</v>
      </c>
      <c r="IR12" s="1">
        <v>2</v>
      </c>
      <c r="IS12" s="1">
        <v>0</v>
      </c>
      <c r="IT12" s="1">
        <v>1</v>
      </c>
      <c r="IU12" s="1">
        <v>0</v>
      </c>
      <c r="IV12" s="1">
        <v>11</v>
      </c>
      <c r="IW12" s="1">
        <v>0</v>
      </c>
      <c r="IX12" s="1">
        <v>33</v>
      </c>
      <c r="IY12" s="1">
        <v>7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9</v>
      </c>
      <c r="JG12" s="1">
        <v>0</v>
      </c>
      <c r="JH12" s="1">
        <v>0</v>
      </c>
      <c r="JI12" s="1">
        <v>11</v>
      </c>
      <c r="JJ12" s="1">
        <v>0</v>
      </c>
      <c r="JK12" s="1">
        <v>0</v>
      </c>
      <c r="JL12" s="1">
        <v>1</v>
      </c>
      <c r="JM12" s="1">
        <v>0</v>
      </c>
      <c r="JN12" s="1">
        <v>0</v>
      </c>
      <c r="JO12" s="1">
        <v>3</v>
      </c>
      <c r="JP12" s="1">
        <v>4</v>
      </c>
      <c r="JQ12" s="1">
        <v>0</v>
      </c>
      <c r="JR12" s="1">
        <v>0</v>
      </c>
      <c r="JS12" s="1">
        <v>0</v>
      </c>
      <c r="JT12" s="1">
        <v>1</v>
      </c>
      <c r="JU12" s="1">
        <v>1</v>
      </c>
      <c r="JV12" s="1">
        <v>0</v>
      </c>
      <c r="JW12" s="1">
        <v>0</v>
      </c>
      <c r="JX12" s="1">
        <v>1</v>
      </c>
      <c r="JY12" s="1">
        <v>0</v>
      </c>
      <c r="JZ12" s="1">
        <v>0</v>
      </c>
      <c r="KA12" s="1">
        <v>40</v>
      </c>
      <c r="KB12" s="1">
        <v>0</v>
      </c>
      <c r="KC12" s="1">
        <v>0</v>
      </c>
      <c r="KD12" s="1">
        <v>0</v>
      </c>
      <c r="KE12" s="1">
        <v>69</v>
      </c>
      <c r="KF12" s="1">
        <v>0</v>
      </c>
      <c r="KG12" s="1">
        <v>0</v>
      </c>
      <c r="KH12" s="1">
        <v>0</v>
      </c>
      <c r="KI12" s="1">
        <v>21</v>
      </c>
      <c r="KJ12" s="1">
        <v>16</v>
      </c>
      <c r="KK12" s="1">
        <v>47</v>
      </c>
      <c r="KL12" s="1">
        <v>0</v>
      </c>
      <c r="KM12" s="1">
        <v>12</v>
      </c>
      <c r="KN12" s="1">
        <v>12</v>
      </c>
      <c r="KO12" s="1">
        <v>0</v>
      </c>
      <c r="KP12" s="1">
        <v>0</v>
      </c>
      <c r="KQ12" s="1">
        <v>29</v>
      </c>
      <c r="KR12" s="1">
        <v>13</v>
      </c>
      <c r="KS12" s="1">
        <v>21</v>
      </c>
      <c r="KT12" s="1">
        <v>0</v>
      </c>
      <c r="KU12" s="1">
        <v>0</v>
      </c>
      <c r="KV12" s="1">
        <v>14</v>
      </c>
      <c r="KW12" s="1">
        <v>0</v>
      </c>
      <c r="KX12" s="1">
        <v>0</v>
      </c>
      <c r="KY12" s="1">
        <v>0</v>
      </c>
      <c r="KZ12" s="1">
        <v>12</v>
      </c>
      <c r="LA12" s="1">
        <v>1</v>
      </c>
      <c r="LB12" s="1">
        <v>0</v>
      </c>
      <c r="LC12" s="1">
        <v>0</v>
      </c>
      <c r="LD12" s="1">
        <v>0</v>
      </c>
      <c r="LE12" s="1">
        <v>0</v>
      </c>
      <c r="LF12" s="1">
        <v>2</v>
      </c>
      <c r="LG12" s="1">
        <v>2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1</v>
      </c>
      <c r="LN12" s="1">
        <v>0</v>
      </c>
      <c r="LO12" s="1">
        <v>2</v>
      </c>
      <c r="LP12" s="1">
        <v>0</v>
      </c>
      <c r="LQ12" s="1">
        <v>0</v>
      </c>
      <c r="LR12" s="1">
        <v>0</v>
      </c>
      <c r="LS12" s="1">
        <v>2</v>
      </c>
      <c r="LT12" s="1">
        <v>1</v>
      </c>
      <c r="LU12" s="1">
        <v>0</v>
      </c>
      <c r="LV12" s="1">
        <v>1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25</v>
      </c>
      <c r="ME12" s="1">
        <v>0</v>
      </c>
      <c r="MF12" s="1">
        <v>0</v>
      </c>
      <c r="MG12" s="1">
        <v>0</v>
      </c>
      <c r="MH12" s="1">
        <v>1</v>
      </c>
      <c r="MI12" s="1">
        <v>41</v>
      </c>
      <c r="MJ12" s="1">
        <v>5</v>
      </c>
      <c r="MK12" s="1">
        <v>0</v>
      </c>
      <c r="ML12" s="1">
        <v>0</v>
      </c>
      <c r="MM12" s="1">
        <v>0</v>
      </c>
      <c r="MN12" s="1">
        <v>4</v>
      </c>
      <c r="MO12" s="1">
        <v>0</v>
      </c>
      <c r="MP12" s="1">
        <v>0</v>
      </c>
      <c r="MQ12" s="1">
        <v>0</v>
      </c>
      <c r="MR12" s="1">
        <v>3</v>
      </c>
      <c r="MS12" s="1">
        <v>0</v>
      </c>
      <c r="MT12" s="1">
        <v>0</v>
      </c>
      <c r="MU12" s="1">
        <v>0</v>
      </c>
      <c r="MV12" s="1">
        <v>1</v>
      </c>
      <c r="MW12" s="1">
        <v>0</v>
      </c>
      <c r="MX12" s="1">
        <v>2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8</v>
      </c>
      <c r="NP12" s="1">
        <v>0</v>
      </c>
      <c r="NQ12" s="1">
        <v>0</v>
      </c>
      <c r="NR12" s="1">
        <v>0</v>
      </c>
      <c r="NS12" s="1">
        <v>0</v>
      </c>
      <c r="NT12" s="1">
        <v>31</v>
      </c>
      <c r="NU12" s="1">
        <v>1</v>
      </c>
      <c r="NV12" s="1">
        <v>6</v>
      </c>
      <c r="NW12" s="1">
        <v>1</v>
      </c>
      <c r="NX12" s="1">
        <v>0</v>
      </c>
      <c r="NY12" s="1">
        <v>0</v>
      </c>
      <c r="NZ12" s="1">
        <v>16</v>
      </c>
      <c r="OA12" s="1">
        <v>2</v>
      </c>
      <c r="OB12" s="1">
        <v>0</v>
      </c>
      <c r="OC12" s="1">
        <v>0</v>
      </c>
      <c r="OD12" s="1">
        <v>10</v>
      </c>
      <c r="OE12" s="1">
        <v>0</v>
      </c>
      <c r="OF12" s="1">
        <v>4</v>
      </c>
      <c r="OG12" s="1">
        <v>16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7</v>
      </c>
      <c r="ON12" s="1">
        <v>12</v>
      </c>
      <c r="OO12" s="1">
        <v>1</v>
      </c>
      <c r="OP12" s="1">
        <v>0</v>
      </c>
      <c r="OQ12" s="1">
        <v>0</v>
      </c>
      <c r="OR12" s="1">
        <v>0</v>
      </c>
      <c r="OS12" s="1">
        <v>0</v>
      </c>
      <c r="OT12" s="1">
        <v>0</v>
      </c>
      <c r="OU12" s="1">
        <v>1</v>
      </c>
      <c r="OV12" s="1">
        <v>1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7</v>
      </c>
      <c r="PD12" s="1">
        <v>19</v>
      </c>
      <c r="PE12" s="1">
        <v>0</v>
      </c>
      <c r="PF12" s="1">
        <v>0</v>
      </c>
      <c r="PG12" s="1">
        <v>0</v>
      </c>
      <c r="PH12" s="1">
        <v>0</v>
      </c>
      <c r="PI12" s="1">
        <v>17</v>
      </c>
      <c r="PJ12" s="1">
        <v>14</v>
      </c>
      <c r="PK12" s="1">
        <v>3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0</v>
      </c>
      <c r="PS12" s="1">
        <v>0</v>
      </c>
      <c r="PT12" s="1">
        <v>0</v>
      </c>
      <c r="PU12" s="1">
        <v>0</v>
      </c>
      <c r="PV12" s="1">
        <v>0</v>
      </c>
      <c r="PW12" s="1">
        <v>0</v>
      </c>
      <c r="PX12" s="1">
        <v>0</v>
      </c>
      <c r="PY12" s="1">
        <v>8</v>
      </c>
      <c r="PZ12" s="1">
        <v>1</v>
      </c>
      <c r="QA12" s="1">
        <v>2</v>
      </c>
      <c r="QB12" s="1">
        <v>11</v>
      </c>
      <c r="QC12" s="1">
        <v>23</v>
      </c>
      <c r="QD12" s="1">
        <v>10</v>
      </c>
      <c r="QE12" s="1">
        <v>10</v>
      </c>
      <c r="QF12" s="1">
        <v>0</v>
      </c>
      <c r="QG12" s="1">
        <v>0</v>
      </c>
      <c r="QH12" s="1">
        <v>0</v>
      </c>
      <c r="QI12" s="1">
        <v>0</v>
      </c>
      <c r="QJ12" s="1">
        <v>0</v>
      </c>
      <c r="QK12" s="1">
        <v>3</v>
      </c>
      <c r="QL12" s="1">
        <v>0</v>
      </c>
      <c r="QM12" s="1">
        <v>12</v>
      </c>
      <c r="QN12" s="1">
        <v>7</v>
      </c>
      <c r="QO12" s="1">
        <v>0</v>
      </c>
      <c r="QP12" s="1">
        <v>0</v>
      </c>
      <c r="QQ12" s="1">
        <v>0</v>
      </c>
      <c r="QR12" s="1">
        <v>22</v>
      </c>
      <c r="QS12" s="1">
        <v>0</v>
      </c>
      <c r="QT12" s="1">
        <v>2</v>
      </c>
      <c r="QU12" s="1">
        <v>0</v>
      </c>
      <c r="QV12" s="1">
        <v>0</v>
      </c>
      <c r="QW12" s="1">
        <v>6</v>
      </c>
      <c r="QX12" s="1">
        <v>1</v>
      </c>
      <c r="QY12" s="1">
        <v>0</v>
      </c>
      <c r="QZ12" s="1">
        <v>0</v>
      </c>
      <c r="RA12" s="1">
        <v>0</v>
      </c>
      <c r="RB12" s="1">
        <v>0</v>
      </c>
      <c r="RC12" s="1">
        <v>8</v>
      </c>
      <c r="RD12" s="1">
        <v>10</v>
      </c>
      <c r="RE12" s="1">
        <v>4</v>
      </c>
      <c r="RF12" s="1">
        <v>4</v>
      </c>
      <c r="RG12" s="1">
        <v>0</v>
      </c>
      <c r="RH12" s="1">
        <v>0</v>
      </c>
      <c r="RI12" s="1">
        <v>0</v>
      </c>
      <c r="RJ12" s="1">
        <v>0</v>
      </c>
      <c r="RK12" s="1">
        <v>0</v>
      </c>
      <c r="RL12" s="1">
        <v>6</v>
      </c>
      <c r="RM12" s="1">
        <v>0</v>
      </c>
      <c r="RN12" s="1">
        <v>0</v>
      </c>
      <c r="RO12" s="1">
        <v>0</v>
      </c>
      <c r="RP12" s="1">
        <v>1</v>
      </c>
      <c r="RQ12" s="1">
        <v>0</v>
      </c>
      <c r="RR12" s="1">
        <v>0</v>
      </c>
      <c r="RS12" s="1">
        <v>0</v>
      </c>
      <c r="RT12" s="1">
        <v>0</v>
      </c>
      <c r="RU12" s="1">
        <v>4</v>
      </c>
      <c r="RV12" s="1">
        <v>1</v>
      </c>
      <c r="RW12" s="1">
        <v>2</v>
      </c>
      <c r="RX12" s="1">
        <v>0</v>
      </c>
      <c r="RY12" s="1">
        <v>0</v>
      </c>
      <c r="RZ12" s="1">
        <v>0</v>
      </c>
      <c r="SA12" s="1">
        <v>0</v>
      </c>
      <c r="SB12" s="1">
        <v>11</v>
      </c>
      <c r="SC12" s="1">
        <v>2</v>
      </c>
      <c r="SD12" s="1">
        <v>1</v>
      </c>
      <c r="SE12" s="1">
        <v>5</v>
      </c>
      <c r="SF12" s="1">
        <v>1</v>
      </c>
      <c r="SG12" s="1">
        <v>0</v>
      </c>
      <c r="SH12" s="1">
        <v>0</v>
      </c>
      <c r="SI12" s="1">
        <v>0</v>
      </c>
      <c r="SJ12" s="1">
        <v>0</v>
      </c>
      <c r="SK12" s="1">
        <v>0</v>
      </c>
      <c r="SL12" s="1">
        <v>0</v>
      </c>
      <c r="SM12" s="1">
        <v>4</v>
      </c>
      <c r="SN12" s="1">
        <v>6</v>
      </c>
      <c r="SO12" s="1">
        <v>0</v>
      </c>
      <c r="SP12" s="1">
        <v>10</v>
      </c>
      <c r="SQ12" s="1">
        <v>2</v>
      </c>
      <c r="SR12" s="1">
        <v>17</v>
      </c>
      <c r="SS12" s="1">
        <v>0</v>
      </c>
      <c r="ST12" s="1">
        <v>0</v>
      </c>
      <c r="SU12" s="1">
        <v>0</v>
      </c>
      <c r="SV12" s="1">
        <v>0</v>
      </c>
      <c r="SW12" s="1">
        <v>2</v>
      </c>
      <c r="SX12" s="1">
        <v>0</v>
      </c>
      <c r="SY12" s="1">
        <v>9</v>
      </c>
      <c r="SZ12" s="1">
        <v>5</v>
      </c>
      <c r="TA12" s="1">
        <v>0</v>
      </c>
      <c r="TB12" s="1">
        <v>0</v>
      </c>
      <c r="TC12" s="1">
        <v>0</v>
      </c>
      <c r="TD12" s="1">
        <v>0</v>
      </c>
      <c r="TE12" s="1">
        <v>0</v>
      </c>
      <c r="TF12" s="1">
        <v>0</v>
      </c>
      <c r="TG12" s="1">
        <v>0</v>
      </c>
      <c r="TH12" s="1">
        <v>0</v>
      </c>
      <c r="TI12" s="1">
        <v>3</v>
      </c>
      <c r="TJ12" s="1">
        <v>0</v>
      </c>
      <c r="TK12" s="1">
        <v>2</v>
      </c>
      <c r="TL12" s="1">
        <v>8</v>
      </c>
      <c r="TM12" s="1">
        <v>0</v>
      </c>
      <c r="TN12" s="1">
        <v>0</v>
      </c>
      <c r="TO12" s="1">
        <v>0</v>
      </c>
      <c r="TP12" s="1">
        <v>9</v>
      </c>
      <c r="TQ12" s="1">
        <v>1</v>
      </c>
      <c r="TR12" s="1">
        <v>0</v>
      </c>
      <c r="TS12" s="1">
        <v>0</v>
      </c>
      <c r="TT12" s="1">
        <v>0</v>
      </c>
      <c r="TU12" s="1">
        <v>0</v>
      </c>
      <c r="TV12" s="1">
        <v>0</v>
      </c>
      <c r="TW12" s="1">
        <v>0</v>
      </c>
      <c r="TX12" s="1">
        <v>7</v>
      </c>
      <c r="TY12" s="1">
        <v>14</v>
      </c>
      <c r="TZ12" s="1">
        <v>3</v>
      </c>
      <c r="UA12" s="1">
        <v>0</v>
      </c>
      <c r="UB12" s="1">
        <v>0</v>
      </c>
      <c r="UC12" s="1">
        <v>0</v>
      </c>
      <c r="UD12" s="1">
        <v>0</v>
      </c>
      <c r="UE12" s="1">
        <v>1</v>
      </c>
      <c r="UF12" s="1">
        <v>9</v>
      </c>
      <c r="UG12" s="1">
        <v>0</v>
      </c>
      <c r="UH12" s="1">
        <v>0</v>
      </c>
      <c r="UI12" s="1">
        <v>7</v>
      </c>
      <c r="UJ12" s="1">
        <v>4</v>
      </c>
      <c r="UK12" s="1">
        <v>2</v>
      </c>
      <c r="UL12" s="1">
        <v>0</v>
      </c>
      <c r="UM12" s="1">
        <v>4</v>
      </c>
      <c r="UN12" s="1">
        <v>3</v>
      </c>
      <c r="UO12" s="1">
        <v>9</v>
      </c>
      <c r="UP12" s="1">
        <v>0</v>
      </c>
      <c r="UQ12" s="1">
        <v>0</v>
      </c>
      <c r="UR12" s="1">
        <v>0</v>
      </c>
      <c r="US12" s="1">
        <v>0</v>
      </c>
      <c r="UT12" s="1">
        <v>0</v>
      </c>
      <c r="UU12" s="1">
        <v>0</v>
      </c>
      <c r="UV12" s="1">
        <v>0</v>
      </c>
      <c r="UW12" s="1">
        <v>0</v>
      </c>
      <c r="UX12" s="1">
        <v>0</v>
      </c>
      <c r="UY12" s="1">
        <v>0</v>
      </c>
      <c r="UZ12" s="1">
        <v>0</v>
      </c>
      <c r="VA12" s="1">
        <v>0</v>
      </c>
      <c r="VB12" s="1">
        <v>3</v>
      </c>
      <c r="VC12" s="1">
        <v>0</v>
      </c>
      <c r="VD12" s="1">
        <v>0</v>
      </c>
      <c r="VE12" s="1">
        <v>0</v>
      </c>
      <c r="VF12" s="1">
        <v>0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0</v>
      </c>
      <c r="VN12" s="1">
        <v>0</v>
      </c>
      <c r="VO12" s="1">
        <v>2</v>
      </c>
      <c r="VP12" s="1">
        <v>6</v>
      </c>
      <c r="VQ12" s="1">
        <v>0</v>
      </c>
      <c r="VR12" s="1">
        <v>0</v>
      </c>
      <c r="VS12" s="1">
        <v>1</v>
      </c>
      <c r="VT12" s="1">
        <v>5</v>
      </c>
      <c r="VU12" s="1">
        <v>7</v>
      </c>
      <c r="VV12" s="1">
        <v>0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1</v>
      </c>
      <c r="WE12" s="1">
        <v>0</v>
      </c>
      <c r="WF12" s="1">
        <v>0</v>
      </c>
      <c r="WG12" s="1">
        <v>4</v>
      </c>
      <c r="WH12" s="1">
        <v>5</v>
      </c>
      <c r="WI12" s="1">
        <v>0</v>
      </c>
      <c r="WJ12" s="1">
        <v>2</v>
      </c>
      <c r="WK12" s="1">
        <v>3</v>
      </c>
      <c r="WL12" s="1">
        <v>7</v>
      </c>
      <c r="WM12" s="1">
        <v>0</v>
      </c>
      <c r="WN12" s="1">
        <v>1</v>
      </c>
      <c r="WO12" s="1">
        <v>9</v>
      </c>
      <c r="WP12" s="1">
        <v>0</v>
      </c>
      <c r="WQ12" s="1">
        <v>0</v>
      </c>
      <c r="WR12" s="1">
        <v>0</v>
      </c>
      <c r="WS12" s="1">
        <v>0</v>
      </c>
      <c r="WT12" s="1">
        <v>0</v>
      </c>
      <c r="WU12" s="1">
        <v>0</v>
      </c>
      <c r="WV12" s="1">
        <v>0</v>
      </c>
      <c r="WW12" s="1">
        <v>0</v>
      </c>
      <c r="WX12" s="1">
        <v>0</v>
      </c>
      <c r="WY12" s="1">
        <v>0</v>
      </c>
      <c r="WZ12" s="1">
        <v>0</v>
      </c>
      <c r="XA12" s="1">
        <v>2</v>
      </c>
      <c r="XB12" s="1">
        <v>4</v>
      </c>
      <c r="XC12" s="1">
        <v>7</v>
      </c>
      <c r="XD12" s="1">
        <v>0</v>
      </c>
      <c r="XE12" s="1">
        <v>8</v>
      </c>
      <c r="XF12" s="1">
        <v>0</v>
      </c>
      <c r="XG12" s="1">
        <v>0</v>
      </c>
      <c r="XH12" s="1">
        <v>0</v>
      </c>
      <c r="XI12" s="1">
        <v>0</v>
      </c>
      <c r="XJ12" s="1">
        <v>0</v>
      </c>
      <c r="XK12" s="1">
        <v>2</v>
      </c>
      <c r="XL12" s="1">
        <v>0</v>
      </c>
      <c r="XM12" s="1">
        <v>4</v>
      </c>
      <c r="XN12" s="1">
        <v>5</v>
      </c>
      <c r="XO12" s="1">
        <v>0</v>
      </c>
      <c r="XP12" s="1">
        <v>3</v>
      </c>
      <c r="XQ12" s="1">
        <v>0</v>
      </c>
      <c r="XR12" s="1">
        <v>1</v>
      </c>
      <c r="XS12" s="1">
        <v>7</v>
      </c>
      <c r="XT12" s="1">
        <v>7</v>
      </c>
      <c r="XU12" s="1">
        <v>7</v>
      </c>
      <c r="XV12" s="1">
        <v>1</v>
      </c>
      <c r="XW12" s="1">
        <v>0</v>
      </c>
      <c r="XX12" s="1">
        <v>0</v>
      </c>
      <c r="XY12" s="1">
        <v>0</v>
      </c>
      <c r="XZ12" s="1">
        <v>0</v>
      </c>
      <c r="YA12" s="1">
        <v>0</v>
      </c>
      <c r="YB12" s="1">
        <v>2</v>
      </c>
      <c r="YC12" s="1">
        <v>0</v>
      </c>
      <c r="YD12" s="1">
        <v>2</v>
      </c>
      <c r="YE12" s="1">
        <v>0</v>
      </c>
      <c r="YF12" s="1">
        <v>2</v>
      </c>
      <c r="YG12" s="1">
        <v>2</v>
      </c>
      <c r="YH12" s="1">
        <v>1</v>
      </c>
      <c r="YI12" s="1">
        <v>4</v>
      </c>
      <c r="YJ12" s="1">
        <v>5</v>
      </c>
      <c r="YK12" s="1">
        <v>5</v>
      </c>
      <c r="YL12" s="1">
        <v>1</v>
      </c>
      <c r="YM12" s="1">
        <v>6</v>
      </c>
      <c r="YN12" s="1">
        <v>6</v>
      </c>
      <c r="YO12" s="1">
        <v>0</v>
      </c>
      <c r="YP12" s="1">
        <v>0</v>
      </c>
      <c r="YQ12" s="1">
        <v>0</v>
      </c>
      <c r="YR12" s="1">
        <v>0</v>
      </c>
      <c r="YS12" s="1">
        <v>0</v>
      </c>
      <c r="YT12" s="1">
        <v>0</v>
      </c>
      <c r="YU12" s="1">
        <v>0</v>
      </c>
      <c r="YV12" s="1">
        <v>0</v>
      </c>
      <c r="YW12" s="1">
        <v>0</v>
      </c>
      <c r="YX12" s="1">
        <v>0</v>
      </c>
      <c r="YY12" s="1">
        <v>0</v>
      </c>
      <c r="YZ12" s="1">
        <v>0</v>
      </c>
      <c r="ZA12" s="1">
        <v>0</v>
      </c>
      <c r="ZB12" s="1">
        <v>3</v>
      </c>
      <c r="ZC12" s="1">
        <v>2</v>
      </c>
      <c r="ZD12" s="1">
        <v>2</v>
      </c>
      <c r="ZE12" s="1">
        <v>4</v>
      </c>
      <c r="ZF12" s="1">
        <v>0</v>
      </c>
      <c r="ZG12" s="1">
        <v>1</v>
      </c>
      <c r="ZH12" s="1">
        <v>0</v>
      </c>
      <c r="ZI12" s="1">
        <v>2</v>
      </c>
      <c r="ZJ12" s="1">
        <v>5</v>
      </c>
      <c r="ZK12" s="1">
        <v>3</v>
      </c>
      <c r="ZL12" s="1">
        <v>0</v>
      </c>
      <c r="ZM12" s="1">
        <v>0</v>
      </c>
      <c r="ZN12" s="1">
        <v>0</v>
      </c>
      <c r="ZO12" s="1">
        <v>0</v>
      </c>
      <c r="ZP12" s="1">
        <v>0</v>
      </c>
      <c r="ZQ12" s="1">
        <v>0</v>
      </c>
      <c r="ZR12" s="1">
        <v>1</v>
      </c>
      <c r="ZS12" s="1">
        <v>0</v>
      </c>
      <c r="ZT12" s="1">
        <v>0</v>
      </c>
      <c r="ZU12" s="1">
        <v>2</v>
      </c>
      <c r="ZV12" s="1">
        <v>0</v>
      </c>
      <c r="ZW12" s="1">
        <v>3</v>
      </c>
      <c r="ZX12" s="1">
        <v>0</v>
      </c>
      <c r="ZY12" s="1">
        <v>2</v>
      </c>
      <c r="ZZ12" s="1">
        <v>3</v>
      </c>
      <c r="AAA12" s="1">
        <v>4</v>
      </c>
      <c r="AAB12" s="1">
        <v>0</v>
      </c>
      <c r="AAC12" s="1">
        <v>0</v>
      </c>
      <c r="AAD12" s="1">
        <v>0</v>
      </c>
      <c r="AAE12" s="1">
        <v>0</v>
      </c>
      <c r="AAF12" s="1">
        <v>0</v>
      </c>
      <c r="AAG12" s="1">
        <v>0</v>
      </c>
      <c r="AAH12" s="1">
        <v>0</v>
      </c>
      <c r="AAI12" s="1">
        <v>0</v>
      </c>
      <c r="AAJ12" s="1">
        <v>0</v>
      </c>
      <c r="AAK12" s="1">
        <v>0</v>
      </c>
      <c r="AAL12" s="1">
        <v>0</v>
      </c>
      <c r="AAM12" s="1">
        <v>2</v>
      </c>
      <c r="AAN12" s="1">
        <v>0</v>
      </c>
      <c r="AAO12" s="1">
        <v>0</v>
      </c>
      <c r="AAP12" s="1">
        <v>0</v>
      </c>
      <c r="AAQ12" s="1">
        <v>0</v>
      </c>
      <c r="AAR12" s="1">
        <v>0</v>
      </c>
      <c r="AAS12" s="1">
        <v>0</v>
      </c>
      <c r="AAT12" s="1">
        <v>0</v>
      </c>
      <c r="AAU12" s="1">
        <v>0</v>
      </c>
      <c r="AAV12" s="1">
        <v>1</v>
      </c>
      <c r="AAW12" s="1">
        <v>3</v>
      </c>
      <c r="AAX12" s="1">
        <v>3</v>
      </c>
      <c r="AAY12" s="1">
        <v>3</v>
      </c>
      <c r="AAZ12" s="1">
        <v>3</v>
      </c>
      <c r="ABA12" s="1">
        <v>3</v>
      </c>
      <c r="ABB12" s="1">
        <v>0</v>
      </c>
      <c r="ABC12" s="1">
        <v>0</v>
      </c>
      <c r="ABD12" s="1">
        <v>0</v>
      </c>
      <c r="ABE12" s="1">
        <v>0</v>
      </c>
      <c r="ABF12" s="1">
        <v>0</v>
      </c>
      <c r="ABG12" s="1">
        <v>0</v>
      </c>
      <c r="ABH12" s="1">
        <v>0</v>
      </c>
      <c r="ABI12" s="1">
        <v>0</v>
      </c>
      <c r="ABJ12" s="1">
        <v>0</v>
      </c>
      <c r="ABK12" s="1">
        <v>0</v>
      </c>
      <c r="ABL12" s="1">
        <v>0</v>
      </c>
      <c r="ABM12" s="1">
        <v>0</v>
      </c>
      <c r="ABN12" s="1">
        <v>1</v>
      </c>
      <c r="ABO12" s="1">
        <v>1</v>
      </c>
      <c r="ABP12" s="1">
        <v>0</v>
      </c>
      <c r="ABQ12" s="1">
        <v>0</v>
      </c>
      <c r="ABR12" s="1">
        <v>1</v>
      </c>
      <c r="ABS12" s="1">
        <v>2</v>
      </c>
      <c r="ABT12" s="1">
        <v>2</v>
      </c>
      <c r="ABU12" s="1">
        <v>2</v>
      </c>
      <c r="ABV12" s="1">
        <v>0</v>
      </c>
      <c r="ABW12" s="1">
        <v>0</v>
      </c>
      <c r="ABX12" s="1">
        <v>0</v>
      </c>
      <c r="ABY12" s="1">
        <v>0</v>
      </c>
      <c r="ABZ12" s="1">
        <v>0</v>
      </c>
      <c r="ACA12" s="1">
        <v>0</v>
      </c>
      <c r="ACB12" s="1">
        <v>0</v>
      </c>
      <c r="ACC12" s="1">
        <v>0</v>
      </c>
    </row>
    <row r="13" spans="1:757">
      <c r="A13" s="1" t="s">
        <v>765</v>
      </c>
      <c r="B13" s="1" t="s">
        <v>794</v>
      </c>
      <c r="C13" s="1" t="s">
        <v>788</v>
      </c>
      <c r="D13" s="1">
        <v>114.29510000000001</v>
      </c>
      <c r="E13" s="1">
        <v>22.340879999999999</v>
      </c>
      <c r="F13" s="1" t="s">
        <v>3034</v>
      </c>
      <c r="G13" s="77">
        <f t="shared" si="0"/>
        <v>62500</v>
      </c>
      <c r="H13" s="1">
        <v>2</v>
      </c>
      <c r="I13" s="1">
        <v>0</v>
      </c>
      <c r="J13" s="1">
        <v>0</v>
      </c>
      <c r="K13" s="1">
        <v>0</v>
      </c>
      <c r="L13" s="1">
        <v>10163</v>
      </c>
      <c r="M13" s="1">
        <v>109</v>
      </c>
      <c r="N13" s="1">
        <v>4527</v>
      </c>
      <c r="O13" s="1">
        <v>0</v>
      </c>
      <c r="P13" s="1">
        <v>201</v>
      </c>
      <c r="Q13" s="1">
        <v>0</v>
      </c>
      <c r="R13" s="1">
        <v>4496</v>
      </c>
      <c r="S13" s="1">
        <v>411</v>
      </c>
      <c r="T13" s="1">
        <v>1908</v>
      </c>
      <c r="U13" s="1">
        <v>2325</v>
      </c>
      <c r="V13" s="1">
        <v>4568</v>
      </c>
      <c r="W13" s="1">
        <v>1</v>
      </c>
      <c r="X13" s="1">
        <v>3726</v>
      </c>
      <c r="Y13" s="1">
        <v>0</v>
      </c>
      <c r="Z13" s="1">
        <v>0</v>
      </c>
      <c r="AA13" s="1">
        <v>786</v>
      </c>
      <c r="AB13" s="1">
        <v>2892</v>
      </c>
      <c r="AC13" s="1">
        <v>3</v>
      </c>
      <c r="AD13" s="1">
        <v>3</v>
      </c>
      <c r="AE13" s="1">
        <v>0</v>
      </c>
      <c r="AF13" s="1">
        <v>1349</v>
      </c>
      <c r="AG13" s="1">
        <v>90</v>
      </c>
      <c r="AH13" s="1">
        <v>0</v>
      </c>
      <c r="AI13" s="1">
        <v>0</v>
      </c>
      <c r="AJ13" s="1">
        <v>6</v>
      </c>
      <c r="AK13" s="1">
        <v>463</v>
      </c>
      <c r="AL13" s="1">
        <v>27</v>
      </c>
      <c r="AM13" s="1">
        <v>2028</v>
      </c>
      <c r="AN13" s="1">
        <v>1662</v>
      </c>
      <c r="AO13" s="1">
        <v>1</v>
      </c>
      <c r="AP13" s="1">
        <v>1470</v>
      </c>
      <c r="AQ13" s="1">
        <v>1500</v>
      </c>
      <c r="AR13" s="1">
        <v>0</v>
      </c>
      <c r="AS13" s="1">
        <v>0</v>
      </c>
      <c r="AT13" s="1">
        <v>444</v>
      </c>
      <c r="AU13" s="1">
        <v>1</v>
      </c>
      <c r="AV13" s="1">
        <v>0</v>
      </c>
      <c r="AW13" s="1">
        <v>0</v>
      </c>
      <c r="AX13" s="1">
        <v>0</v>
      </c>
      <c r="AY13" s="1">
        <v>0</v>
      </c>
      <c r="AZ13" s="1">
        <v>553</v>
      </c>
      <c r="BA13" s="1">
        <v>629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232</v>
      </c>
      <c r="BH13" s="1">
        <v>0</v>
      </c>
      <c r="BI13" s="1">
        <v>3</v>
      </c>
      <c r="BJ13" s="1">
        <v>652</v>
      </c>
      <c r="BK13" s="1">
        <v>3</v>
      </c>
      <c r="BL13" s="1">
        <v>24</v>
      </c>
      <c r="BM13" s="1">
        <v>25</v>
      </c>
      <c r="BN13" s="1">
        <v>0</v>
      </c>
      <c r="BO13" s="1">
        <v>570</v>
      </c>
      <c r="BP13" s="1">
        <v>0</v>
      </c>
      <c r="BQ13" s="1">
        <v>0</v>
      </c>
      <c r="BR13" s="1">
        <v>0</v>
      </c>
      <c r="BS13" s="1">
        <v>80</v>
      </c>
      <c r="BT13" s="1">
        <v>54</v>
      </c>
      <c r="BU13" s="1">
        <v>1</v>
      </c>
      <c r="BV13" s="1">
        <v>0</v>
      </c>
      <c r="BW13" s="1">
        <v>5</v>
      </c>
      <c r="BX13" s="1">
        <v>0</v>
      </c>
      <c r="BY13" s="1">
        <v>26</v>
      </c>
      <c r="BZ13" s="1">
        <v>0</v>
      </c>
      <c r="CA13" s="1">
        <v>269</v>
      </c>
      <c r="CB13" s="1">
        <v>0</v>
      </c>
      <c r="CC13" s="1">
        <v>0</v>
      </c>
      <c r="CD13" s="1">
        <v>0</v>
      </c>
      <c r="CE13" s="1">
        <v>0</v>
      </c>
      <c r="CF13" s="1">
        <v>508</v>
      </c>
      <c r="CG13" s="1">
        <v>644</v>
      </c>
      <c r="CH13" s="1">
        <v>74</v>
      </c>
      <c r="CI13" s="1">
        <v>0</v>
      </c>
      <c r="CJ13" s="1">
        <v>581</v>
      </c>
      <c r="CK13" s="1">
        <v>0</v>
      </c>
      <c r="CL13" s="1">
        <v>0</v>
      </c>
      <c r="CM13" s="1">
        <v>473</v>
      </c>
      <c r="CN13" s="1">
        <v>2</v>
      </c>
      <c r="CO13" s="1">
        <v>619</v>
      </c>
      <c r="CP13" s="1">
        <v>50</v>
      </c>
      <c r="CQ13" s="1">
        <v>0</v>
      </c>
      <c r="CR13" s="1">
        <v>377</v>
      </c>
      <c r="CS13" s="1">
        <v>0</v>
      </c>
      <c r="CT13" s="1">
        <v>0</v>
      </c>
      <c r="CU13" s="1">
        <v>0</v>
      </c>
      <c r="CV13" s="1">
        <v>509</v>
      </c>
      <c r="CW13" s="1">
        <v>73</v>
      </c>
      <c r="CX13" s="1">
        <v>0</v>
      </c>
      <c r="CY13" s="1">
        <v>0</v>
      </c>
      <c r="CZ13" s="1">
        <v>85</v>
      </c>
      <c r="DA13" s="1">
        <v>379</v>
      </c>
      <c r="DB13" s="1">
        <v>287</v>
      </c>
      <c r="DC13" s="1">
        <v>10</v>
      </c>
      <c r="DD13" s="1">
        <v>519</v>
      </c>
      <c r="DE13" s="1">
        <v>0</v>
      </c>
      <c r="DF13" s="1">
        <v>0</v>
      </c>
      <c r="DG13" s="1">
        <v>41</v>
      </c>
      <c r="DH13" s="1">
        <v>7</v>
      </c>
      <c r="DI13" s="1">
        <v>12</v>
      </c>
      <c r="DJ13" s="1">
        <v>0</v>
      </c>
      <c r="DK13" s="1">
        <v>2</v>
      </c>
      <c r="DL13" s="1">
        <v>144</v>
      </c>
      <c r="DM13" s="1">
        <v>1</v>
      </c>
      <c r="DN13" s="1">
        <v>0</v>
      </c>
      <c r="DO13" s="1">
        <v>11</v>
      </c>
      <c r="DP13" s="1">
        <v>1</v>
      </c>
      <c r="DQ13" s="1">
        <v>95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108</v>
      </c>
      <c r="DX13" s="1">
        <v>247</v>
      </c>
      <c r="DY13" s="1">
        <v>0</v>
      </c>
      <c r="DZ13" s="1">
        <v>357</v>
      </c>
      <c r="EA13" s="1">
        <v>1</v>
      </c>
      <c r="EB13" s="1">
        <v>375</v>
      </c>
      <c r="EC13" s="1">
        <v>0</v>
      </c>
      <c r="ED13" s="1">
        <v>235</v>
      </c>
      <c r="EE13" s="1">
        <v>6</v>
      </c>
      <c r="EF13" s="1">
        <v>1</v>
      </c>
      <c r="EG13" s="1">
        <v>262</v>
      </c>
      <c r="EH13" s="1">
        <v>199</v>
      </c>
      <c r="EI13" s="1">
        <v>27</v>
      </c>
      <c r="EJ13" s="1">
        <v>67</v>
      </c>
      <c r="EK13" s="1">
        <v>0</v>
      </c>
      <c r="EL13" s="1">
        <v>11</v>
      </c>
      <c r="EM13" s="1">
        <v>0</v>
      </c>
      <c r="EN13" s="1">
        <v>299</v>
      </c>
      <c r="EO13" s="1">
        <v>0</v>
      </c>
      <c r="EP13" s="1">
        <v>0</v>
      </c>
      <c r="EQ13" s="1">
        <v>122</v>
      </c>
      <c r="ER13" s="1">
        <v>292</v>
      </c>
      <c r="ES13" s="1">
        <v>282</v>
      </c>
      <c r="ET13" s="1">
        <v>241</v>
      </c>
      <c r="EU13" s="1">
        <v>43</v>
      </c>
      <c r="EV13" s="1">
        <v>27</v>
      </c>
      <c r="EW13" s="1">
        <v>0</v>
      </c>
      <c r="EX13" s="1">
        <v>1</v>
      </c>
      <c r="EY13" s="1">
        <v>241</v>
      </c>
      <c r="EZ13" s="1">
        <v>122</v>
      </c>
      <c r="FA13" s="1">
        <v>0</v>
      </c>
      <c r="FB13" s="1">
        <v>1</v>
      </c>
      <c r="FC13" s="1">
        <v>8</v>
      </c>
      <c r="FD13" s="1">
        <v>162</v>
      </c>
      <c r="FE13" s="1">
        <v>0</v>
      </c>
      <c r="FF13" s="1">
        <v>38</v>
      </c>
      <c r="FG13" s="1">
        <v>27</v>
      </c>
      <c r="FH13" s="1">
        <v>27</v>
      </c>
      <c r="FI13" s="1">
        <v>231</v>
      </c>
      <c r="FJ13" s="1">
        <v>10</v>
      </c>
      <c r="FK13" s="1">
        <v>205</v>
      </c>
      <c r="FL13" s="1">
        <v>0</v>
      </c>
      <c r="FM13" s="1">
        <v>221</v>
      </c>
      <c r="FN13" s="1">
        <v>0</v>
      </c>
      <c r="FO13" s="1">
        <v>3</v>
      </c>
      <c r="FP13" s="1">
        <v>0</v>
      </c>
      <c r="FQ13" s="1">
        <v>192</v>
      </c>
      <c r="FR13" s="1">
        <v>3</v>
      </c>
      <c r="FS13" s="1">
        <v>0</v>
      </c>
      <c r="FT13" s="1">
        <v>186</v>
      </c>
      <c r="FU13" s="1">
        <v>0</v>
      </c>
      <c r="FV13" s="1">
        <v>19</v>
      </c>
      <c r="FW13" s="1">
        <v>0</v>
      </c>
      <c r="FX13" s="1">
        <v>6</v>
      </c>
      <c r="FY13" s="1">
        <v>0</v>
      </c>
      <c r="FZ13" s="1">
        <v>0</v>
      </c>
      <c r="GA13" s="1">
        <v>0</v>
      </c>
      <c r="GB13" s="1">
        <v>1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6</v>
      </c>
      <c r="GJ13" s="1">
        <v>0</v>
      </c>
      <c r="GK13" s="1">
        <v>166</v>
      </c>
      <c r="GL13" s="1">
        <v>163</v>
      </c>
      <c r="GM13" s="1">
        <v>0</v>
      </c>
      <c r="GN13" s="1">
        <v>0</v>
      </c>
      <c r="GO13" s="1">
        <v>58</v>
      </c>
      <c r="GP13" s="1">
        <v>0</v>
      </c>
      <c r="GQ13" s="1">
        <v>0</v>
      </c>
      <c r="GR13" s="1">
        <v>161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5</v>
      </c>
      <c r="GY13" s="1">
        <v>0</v>
      </c>
      <c r="GZ13" s="1">
        <v>151</v>
      </c>
      <c r="HA13" s="1">
        <v>0</v>
      </c>
      <c r="HB13" s="1">
        <v>0</v>
      </c>
      <c r="HC13" s="1">
        <v>0</v>
      </c>
      <c r="HD13" s="1">
        <v>134</v>
      </c>
      <c r="HE13" s="1">
        <v>1</v>
      </c>
      <c r="HF13" s="1">
        <v>0</v>
      </c>
      <c r="HG13" s="1">
        <v>0</v>
      </c>
      <c r="HH13" s="1">
        <v>16</v>
      </c>
      <c r="HI13" s="1">
        <v>0</v>
      </c>
      <c r="HJ13" s="1">
        <v>96</v>
      </c>
      <c r="HK13" s="1">
        <v>0</v>
      </c>
      <c r="HL13" s="1">
        <v>39</v>
      </c>
      <c r="HM13" s="1">
        <v>0</v>
      </c>
      <c r="HN13" s="1">
        <v>29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12</v>
      </c>
      <c r="HX13" s="1">
        <v>0</v>
      </c>
      <c r="HY13" s="1">
        <v>0</v>
      </c>
      <c r="HZ13" s="1">
        <v>0</v>
      </c>
      <c r="IA13" s="1">
        <v>2</v>
      </c>
      <c r="IB13" s="1">
        <v>0</v>
      </c>
      <c r="IC13" s="1">
        <v>113</v>
      </c>
      <c r="ID13" s="1">
        <v>37</v>
      </c>
      <c r="IE13" s="1">
        <v>0</v>
      </c>
      <c r="IF13" s="1">
        <v>0</v>
      </c>
      <c r="IG13" s="1">
        <v>0</v>
      </c>
      <c r="IH13" s="1">
        <v>0</v>
      </c>
      <c r="II13" s="1">
        <v>1</v>
      </c>
      <c r="IJ13" s="1">
        <v>0</v>
      </c>
      <c r="IK13" s="1">
        <v>0</v>
      </c>
      <c r="IL13" s="1">
        <v>95</v>
      </c>
      <c r="IM13" s="1">
        <v>75</v>
      </c>
      <c r="IN13" s="1">
        <v>0</v>
      </c>
      <c r="IO13" s="1">
        <v>0</v>
      </c>
      <c r="IP13" s="1">
        <v>44</v>
      </c>
      <c r="IQ13" s="1">
        <v>0</v>
      </c>
      <c r="IR13" s="1">
        <v>1</v>
      </c>
      <c r="IS13" s="1">
        <v>0</v>
      </c>
      <c r="IT13" s="1">
        <v>0</v>
      </c>
      <c r="IU13" s="1">
        <v>0</v>
      </c>
      <c r="IV13" s="1">
        <v>0</v>
      </c>
      <c r="IW13" s="1">
        <v>3</v>
      </c>
      <c r="IX13" s="1">
        <v>0</v>
      </c>
      <c r="IY13" s="1">
        <v>0</v>
      </c>
      <c r="IZ13" s="1">
        <v>0</v>
      </c>
      <c r="JA13" s="1">
        <v>77</v>
      </c>
      <c r="JB13" s="1">
        <v>0</v>
      </c>
      <c r="JC13" s="1">
        <v>0</v>
      </c>
      <c r="JD13" s="1">
        <v>22</v>
      </c>
      <c r="JE13" s="1">
        <v>5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1</v>
      </c>
      <c r="JN13" s="1">
        <v>0</v>
      </c>
      <c r="JO13" s="1">
        <v>2</v>
      </c>
      <c r="JP13" s="1">
        <v>27</v>
      </c>
      <c r="JQ13" s="1">
        <v>79</v>
      </c>
      <c r="JR13" s="1">
        <v>0</v>
      </c>
      <c r="JS13" s="1">
        <v>21</v>
      </c>
      <c r="JT13" s="1">
        <v>0</v>
      </c>
      <c r="JU13" s="1">
        <v>0</v>
      </c>
      <c r="JV13" s="1">
        <v>0</v>
      </c>
      <c r="JW13" s="1">
        <v>5</v>
      </c>
      <c r="JX13" s="1">
        <v>59</v>
      </c>
      <c r="JY13" s="1">
        <v>0</v>
      </c>
      <c r="JZ13" s="1">
        <v>75</v>
      </c>
      <c r="KA13" s="1">
        <v>0</v>
      </c>
      <c r="KB13" s="1">
        <v>72</v>
      </c>
      <c r="KC13" s="1">
        <v>0</v>
      </c>
      <c r="KD13" s="1">
        <v>0</v>
      </c>
      <c r="KE13" s="1">
        <v>0</v>
      </c>
      <c r="KF13" s="1">
        <v>73</v>
      </c>
      <c r="KG13" s="1">
        <v>72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5</v>
      </c>
      <c r="KY13" s="1">
        <v>67</v>
      </c>
      <c r="KZ13" s="1">
        <v>0</v>
      </c>
      <c r="LA13" s="1">
        <v>24</v>
      </c>
      <c r="LB13" s="1">
        <v>0</v>
      </c>
      <c r="LC13" s="1">
        <v>63</v>
      </c>
      <c r="LD13" s="1">
        <v>2</v>
      </c>
      <c r="LE13" s="1">
        <v>7</v>
      </c>
      <c r="LF13" s="1">
        <v>0</v>
      </c>
      <c r="LG13" s="1">
        <v>62</v>
      </c>
      <c r="LH13" s="1">
        <v>0</v>
      </c>
      <c r="LI13" s="1">
        <v>0</v>
      </c>
      <c r="LJ13" s="1">
        <v>1</v>
      </c>
      <c r="LK13" s="1">
        <v>38</v>
      </c>
      <c r="LL13" s="1">
        <v>0</v>
      </c>
      <c r="LM13" s="1">
        <v>51</v>
      </c>
      <c r="LN13" s="1">
        <v>0</v>
      </c>
      <c r="LO13" s="1">
        <v>45</v>
      </c>
      <c r="LP13" s="1">
        <v>21</v>
      </c>
      <c r="LQ13" s="1">
        <v>0</v>
      </c>
      <c r="LR13" s="1">
        <v>22</v>
      </c>
      <c r="LS13" s="1">
        <v>0</v>
      </c>
      <c r="LT13" s="1">
        <v>0</v>
      </c>
      <c r="LU13" s="1">
        <v>14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52</v>
      </c>
      <c r="MB13" s="1">
        <v>0</v>
      </c>
      <c r="MC13" s="1">
        <v>0</v>
      </c>
      <c r="MD13" s="1">
        <v>0</v>
      </c>
      <c r="ME13" s="1">
        <v>53</v>
      </c>
      <c r="MF13" s="1">
        <v>35</v>
      </c>
      <c r="MG13" s="1">
        <v>0</v>
      </c>
      <c r="MH13" s="1">
        <v>0</v>
      </c>
      <c r="MI13" s="1">
        <v>0</v>
      </c>
      <c r="MJ13" s="1">
        <v>6</v>
      </c>
      <c r="MK13" s="1">
        <v>0</v>
      </c>
      <c r="ML13" s="1">
        <v>47</v>
      </c>
      <c r="MM13" s="1">
        <v>2</v>
      </c>
      <c r="MN13" s="1">
        <v>0</v>
      </c>
      <c r="MO13" s="1">
        <v>0</v>
      </c>
      <c r="MP13" s="1">
        <v>10</v>
      </c>
      <c r="MQ13" s="1">
        <v>0</v>
      </c>
      <c r="MR13" s="1">
        <v>0</v>
      </c>
      <c r="MS13" s="1">
        <v>0</v>
      </c>
      <c r="MT13" s="1">
        <v>46</v>
      </c>
      <c r="MU13" s="1">
        <v>0</v>
      </c>
      <c r="MV13" s="1">
        <v>4</v>
      </c>
      <c r="MW13" s="1">
        <v>0</v>
      </c>
      <c r="MX13" s="1">
        <v>21</v>
      </c>
      <c r="MY13" s="1">
        <v>45</v>
      </c>
      <c r="MZ13" s="1">
        <v>45</v>
      </c>
      <c r="NA13" s="1">
        <v>42</v>
      </c>
      <c r="NB13" s="1">
        <v>37</v>
      </c>
      <c r="NC13" s="1">
        <v>0</v>
      </c>
      <c r="ND13" s="1">
        <v>0</v>
      </c>
      <c r="NE13" s="1">
        <v>44</v>
      </c>
      <c r="NF13" s="1">
        <v>41</v>
      </c>
      <c r="NG13" s="1">
        <v>2</v>
      </c>
      <c r="NH13" s="1">
        <v>0</v>
      </c>
      <c r="NI13" s="1">
        <v>0</v>
      </c>
      <c r="NJ13" s="1">
        <v>0</v>
      </c>
      <c r="NK13" s="1">
        <v>0</v>
      </c>
      <c r="NL13" s="1">
        <v>1</v>
      </c>
      <c r="NM13" s="1">
        <v>0</v>
      </c>
      <c r="NN13" s="1">
        <v>0</v>
      </c>
      <c r="NO13" s="1">
        <v>0</v>
      </c>
      <c r="NP13" s="1">
        <v>0</v>
      </c>
      <c r="NQ13" s="1">
        <v>0</v>
      </c>
      <c r="NR13" s="1">
        <v>0</v>
      </c>
      <c r="NS13" s="1">
        <v>0</v>
      </c>
      <c r="NT13" s="1">
        <v>0</v>
      </c>
      <c r="NU13" s="1">
        <v>1</v>
      </c>
      <c r="NV13" s="1">
        <v>0</v>
      </c>
      <c r="NW13" s="1">
        <v>1</v>
      </c>
      <c r="NX13" s="1">
        <v>1</v>
      </c>
      <c r="NY13" s="1">
        <v>0</v>
      </c>
      <c r="NZ13" s="1">
        <v>0</v>
      </c>
      <c r="OA13" s="1">
        <v>0</v>
      </c>
      <c r="OB13" s="1">
        <v>37</v>
      </c>
      <c r="OC13" s="1">
        <v>34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34</v>
      </c>
      <c r="OJ13" s="1">
        <v>30</v>
      </c>
      <c r="OK13" s="1">
        <v>1</v>
      </c>
      <c r="OL13" s="1">
        <v>0</v>
      </c>
      <c r="OM13" s="1">
        <v>0</v>
      </c>
      <c r="ON13" s="1">
        <v>0</v>
      </c>
      <c r="OO13" s="1">
        <v>0</v>
      </c>
      <c r="OP13" s="1">
        <v>27</v>
      </c>
      <c r="OQ13" s="1">
        <v>0</v>
      </c>
      <c r="OR13" s="1">
        <v>0</v>
      </c>
      <c r="OS13" s="1">
        <v>0</v>
      </c>
      <c r="OT13" s="1">
        <v>0</v>
      </c>
      <c r="OU13" s="1">
        <v>0</v>
      </c>
      <c r="OV13" s="1">
        <v>0</v>
      </c>
      <c r="OW13" s="1">
        <v>0</v>
      </c>
      <c r="OX13" s="1">
        <v>31</v>
      </c>
      <c r="OY13" s="1">
        <v>33</v>
      </c>
      <c r="OZ13" s="1">
        <v>25</v>
      </c>
      <c r="PA13" s="1">
        <v>0</v>
      </c>
      <c r="PB13" s="1">
        <v>0</v>
      </c>
      <c r="PC13" s="1">
        <v>0</v>
      </c>
      <c r="PD13" s="1">
        <v>0</v>
      </c>
      <c r="PE13" s="1">
        <v>0</v>
      </c>
      <c r="PF13" s="1">
        <v>0</v>
      </c>
      <c r="PG13" s="1">
        <v>0</v>
      </c>
      <c r="PH13" s="1">
        <v>0</v>
      </c>
      <c r="PI13" s="1">
        <v>0</v>
      </c>
      <c r="PJ13" s="1">
        <v>0</v>
      </c>
      <c r="PK13" s="1">
        <v>3</v>
      </c>
      <c r="PL13" s="1">
        <v>0</v>
      </c>
      <c r="PM13" s="1">
        <v>31</v>
      </c>
      <c r="PN13" s="1">
        <v>23</v>
      </c>
      <c r="PO13" s="1">
        <v>0</v>
      </c>
      <c r="PP13" s="1">
        <v>0</v>
      </c>
      <c r="PQ13" s="1">
        <v>30</v>
      </c>
      <c r="PR13" s="1">
        <v>30</v>
      </c>
      <c r="PS13" s="1">
        <v>29</v>
      </c>
      <c r="PT13" s="1">
        <v>0</v>
      </c>
      <c r="PU13" s="1">
        <v>9</v>
      </c>
      <c r="PV13" s="1">
        <v>2</v>
      </c>
      <c r="PW13" s="1">
        <v>0</v>
      </c>
      <c r="PX13" s="1">
        <v>0</v>
      </c>
      <c r="PY13" s="1">
        <v>16</v>
      </c>
      <c r="PZ13" s="1">
        <v>0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26</v>
      </c>
      <c r="QG13" s="1">
        <v>21</v>
      </c>
      <c r="QH13" s="1">
        <v>0</v>
      </c>
      <c r="QI13" s="1">
        <v>0</v>
      </c>
      <c r="QJ13" s="1">
        <v>0</v>
      </c>
      <c r="QK13" s="1">
        <v>0</v>
      </c>
      <c r="QL13" s="1">
        <v>20</v>
      </c>
      <c r="QM13" s="1">
        <v>0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23</v>
      </c>
      <c r="RA13" s="1">
        <v>2</v>
      </c>
      <c r="RB13" s="1">
        <v>0</v>
      </c>
      <c r="RC13" s="1">
        <v>0</v>
      </c>
      <c r="RD13" s="1">
        <v>0</v>
      </c>
      <c r="RE13" s="1">
        <v>0</v>
      </c>
      <c r="RF13" s="1">
        <v>0</v>
      </c>
      <c r="RG13" s="1">
        <v>18</v>
      </c>
      <c r="RH13" s="1">
        <v>5</v>
      </c>
      <c r="RI13" s="1">
        <v>0</v>
      </c>
      <c r="RJ13" s="1">
        <v>0</v>
      </c>
      <c r="RK13" s="1">
        <v>0</v>
      </c>
      <c r="RL13" s="1">
        <v>0</v>
      </c>
      <c r="RM13" s="1">
        <v>0</v>
      </c>
      <c r="RN13" s="1">
        <v>0</v>
      </c>
      <c r="RO13" s="1">
        <v>0</v>
      </c>
      <c r="RP13" s="1">
        <v>0</v>
      </c>
      <c r="RQ13" s="1">
        <v>0</v>
      </c>
      <c r="RR13" s="1">
        <v>0</v>
      </c>
      <c r="RS13" s="1">
        <v>0</v>
      </c>
      <c r="RT13" s="1">
        <v>0</v>
      </c>
      <c r="RU13" s="1">
        <v>0</v>
      </c>
      <c r="RV13" s="1">
        <v>12</v>
      </c>
      <c r="RW13" s="1">
        <v>0</v>
      </c>
      <c r="RX13" s="1">
        <v>0</v>
      </c>
      <c r="RY13" s="1">
        <v>0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1">
        <v>0</v>
      </c>
      <c r="SF13" s="1">
        <v>0</v>
      </c>
      <c r="SG13" s="1">
        <v>0</v>
      </c>
      <c r="SH13" s="1">
        <v>0</v>
      </c>
      <c r="SI13" s="1">
        <v>0</v>
      </c>
      <c r="SJ13" s="1">
        <v>0</v>
      </c>
      <c r="SK13" s="1">
        <v>0</v>
      </c>
      <c r="SL13" s="1">
        <v>16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7</v>
      </c>
      <c r="ST13" s="1">
        <v>2</v>
      </c>
      <c r="SU13" s="1">
        <v>1</v>
      </c>
      <c r="SV13" s="1">
        <v>1</v>
      </c>
      <c r="SW13" s="1">
        <v>0</v>
      </c>
      <c r="SX13" s="1">
        <v>17</v>
      </c>
      <c r="SY13" s="1">
        <v>0</v>
      </c>
      <c r="SZ13" s="1">
        <v>0</v>
      </c>
      <c r="TA13" s="1">
        <v>18</v>
      </c>
      <c r="TB13" s="1">
        <v>18</v>
      </c>
      <c r="TC13" s="1">
        <v>15</v>
      </c>
      <c r="TD13" s="1">
        <v>1</v>
      </c>
      <c r="TE13" s="1">
        <v>0</v>
      </c>
      <c r="TF13" s="1">
        <v>0</v>
      </c>
      <c r="TG13" s="1">
        <v>0</v>
      </c>
      <c r="TH13" s="1">
        <v>0</v>
      </c>
      <c r="TI13" s="1">
        <v>0</v>
      </c>
      <c r="TJ13" s="1">
        <v>0</v>
      </c>
      <c r="TK13" s="1">
        <v>0</v>
      </c>
      <c r="TL13" s="1">
        <v>0</v>
      </c>
      <c r="TM13" s="1">
        <v>3</v>
      </c>
      <c r="TN13" s="1">
        <v>0</v>
      </c>
      <c r="TO13" s="1">
        <v>0</v>
      </c>
      <c r="TP13" s="1">
        <v>0</v>
      </c>
      <c r="TQ13" s="1">
        <v>0</v>
      </c>
      <c r="TR13" s="1">
        <v>0</v>
      </c>
      <c r="TS13" s="1">
        <v>16</v>
      </c>
      <c r="TT13" s="1">
        <v>16</v>
      </c>
      <c r="TU13" s="1">
        <v>0</v>
      </c>
      <c r="TV13" s="1">
        <v>0</v>
      </c>
      <c r="TW13" s="1">
        <v>0</v>
      </c>
      <c r="TX13" s="1">
        <v>0</v>
      </c>
      <c r="TY13" s="1">
        <v>0</v>
      </c>
      <c r="TZ13" s="1">
        <v>0</v>
      </c>
      <c r="UA13" s="1">
        <v>15</v>
      </c>
      <c r="UB13" s="1">
        <v>0</v>
      </c>
      <c r="UC13" s="1">
        <v>0</v>
      </c>
      <c r="UD13" s="1">
        <v>0</v>
      </c>
      <c r="UE13" s="1">
        <v>0</v>
      </c>
      <c r="UF13" s="1">
        <v>0</v>
      </c>
      <c r="UG13" s="1">
        <v>0</v>
      </c>
      <c r="UH13" s="1">
        <v>0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>
        <v>0</v>
      </c>
      <c r="UR13" s="1">
        <v>0</v>
      </c>
      <c r="US13" s="1">
        <v>0</v>
      </c>
      <c r="UT13" s="1">
        <v>0</v>
      </c>
      <c r="UU13" s="1">
        <v>0</v>
      </c>
      <c r="UV13" s="1">
        <v>0</v>
      </c>
      <c r="UW13" s="1">
        <v>0</v>
      </c>
      <c r="UX13" s="1">
        <v>0</v>
      </c>
      <c r="UY13" s="1">
        <v>10</v>
      </c>
      <c r="UZ13" s="1">
        <v>0</v>
      </c>
      <c r="VA13" s="1">
        <v>3</v>
      </c>
      <c r="VB13" s="1">
        <v>0</v>
      </c>
      <c r="VC13" s="1">
        <v>9</v>
      </c>
      <c r="VD13" s="1">
        <v>0</v>
      </c>
      <c r="VE13" s="1">
        <v>0</v>
      </c>
      <c r="VF13" s="1">
        <v>6</v>
      </c>
      <c r="VG13" s="1">
        <v>1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</v>
      </c>
      <c r="VN13" s="1">
        <v>0</v>
      </c>
      <c r="VO13" s="1">
        <v>0</v>
      </c>
      <c r="VP13" s="1">
        <v>0</v>
      </c>
      <c r="VQ13" s="1">
        <v>0</v>
      </c>
      <c r="VR13" s="1">
        <v>0</v>
      </c>
      <c r="VS13" s="1">
        <v>0</v>
      </c>
      <c r="VT13" s="1">
        <v>0</v>
      </c>
      <c r="VU13" s="1">
        <v>0</v>
      </c>
      <c r="VV13" s="1">
        <v>10</v>
      </c>
      <c r="VW13" s="1">
        <v>10</v>
      </c>
      <c r="VX13" s="1">
        <v>10</v>
      </c>
      <c r="VY13" s="1">
        <v>10</v>
      </c>
      <c r="VZ13" s="1">
        <v>9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0</v>
      </c>
      <c r="WI13" s="1">
        <v>0</v>
      </c>
      <c r="WJ13" s="1">
        <v>0</v>
      </c>
      <c r="WK13" s="1">
        <v>0</v>
      </c>
      <c r="WL13" s="1">
        <v>0</v>
      </c>
      <c r="WM13" s="1">
        <v>0</v>
      </c>
      <c r="WN13" s="1">
        <v>2</v>
      </c>
      <c r="WO13" s="1">
        <v>0</v>
      </c>
      <c r="WP13" s="1">
        <v>9</v>
      </c>
      <c r="WQ13" s="1">
        <v>9</v>
      </c>
      <c r="WR13" s="1">
        <v>4</v>
      </c>
      <c r="WS13" s="1">
        <v>0</v>
      </c>
      <c r="WT13" s="1">
        <v>0</v>
      </c>
      <c r="WU13" s="1">
        <v>0</v>
      </c>
      <c r="WV13" s="1">
        <v>0</v>
      </c>
      <c r="WW13" s="1">
        <v>0</v>
      </c>
      <c r="WX13" s="1">
        <v>0</v>
      </c>
      <c r="WY13" s="1">
        <v>0</v>
      </c>
      <c r="WZ13" s="1">
        <v>0</v>
      </c>
      <c r="XA13" s="1">
        <v>0</v>
      </c>
      <c r="XB13" s="1">
        <v>0</v>
      </c>
      <c r="XC13" s="1">
        <v>0</v>
      </c>
      <c r="XD13" s="1">
        <v>0</v>
      </c>
      <c r="XE13" s="1">
        <v>0</v>
      </c>
      <c r="XF13" s="1">
        <v>8</v>
      </c>
      <c r="XG13" s="1">
        <v>6</v>
      </c>
      <c r="XH13" s="1">
        <v>0</v>
      </c>
      <c r="XI13" s="1">
        <v>0</v>
      </c>
      <c r="XJ13" s="1">
        <v>0</v>
      </c>
      <c r="XK13" s="1">
        <v>0</v>
      </c>
      <c r="XL13" s="1">
        <v>0</v>
      </c>
      <c r="XM13" s="1">
        <v>0</v>
      </c>
      <c r="XN13" s="1">
        <v>0</v>
      </c>
      <c r="XO13" s="1">
        <v>0</v>
      </c>
      <c r="XP13" s="1">
        <v>0</v>
      </c>
      <c r="XQ13" s="1">
        <v>0</v>
      </c>
      <c r="XR13" s="1">
        <v>0</v>
      </c>
      <c r="XS13" s="1">
        <v>0</v>
      </c>
      <c r="XT13" s="1">
        <v>0</v>
      </c>
      <c r="XU13" s="1">
        <v>0</v>
      </c>
      <c r="XV13" s="1">
        <v>0</v>
      </c>
      <c r="XW13" s="1">
        <v>6</v>
      </c>
      <c r="XX13" s="1">
        <v>0</v>
      </c>
      <c r="XY13" s="1">
        <v>0</v>
      </c>
      <c r="XZ13" s="1">
        <v>0</v>
      </c>
      <c r="YA13" s="1">
        <v>0</v>
      </c>
      <c r="YB13" s="1">
        <v>0</v>
      </c>
      <c r="YC13" s="1">
        <v>0</v>
      </c>
      <c r="YD13" s="1">
        <v>0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0</v>
      </c>
      <c r="YL13" s="1">
        <v>4</v>
      </c>
      <c r="YM13" s="1">
        <v>0</v>
      </c>
      <c r="YN13" s="1">
        <v>0</v>
      </c>
      <c r="YO13" s="1">
        <v>6</v>
      </c>
      <c r="YP13" s="1">
        <v>6</v>
      </c>
      <c r="YQ13" s="1">
        <v>5</v>
      </c>
      <c r="YR13" s="1">
        <v>0</v>
      </c>
      <c r="YS13" s="1">
        <v>0</v>
      </c>
      <c r="YT13" s="1">
        <v>0</v>
      </c>
      <c r="YU13" s="1">
        <v>0</v>
      </c>
      <c r="YV13" s="1">
        <v>0</v>
      </c>
      <c r="YW13" s="1">
        <v>0</v>
      </c>
      <c r="YX13" s="1">
        <v>0</v>
      </c>
      <c r="YY13" s="1">
        <v>0</v>
      </c>
      <c r="YZ13" s="1">
        <v>1</v>
      </c>
      <c r="ZA13" s="1">
        <v>0</v>
      </c>
      <c r="ZB13" s="1">
        <v>0</v>
      </c>
      <c r="ZC13" s="1">
        <v>0</v>
      </c>
      <c r="ZD13" s="1">
        <v>1</v>
      </c>
      <c r="ZE13" s="1">
        <v>0</v>
      </c>
      <c r="ZF13" s="1">
        <v>0</v>
      </c>
      <c r="ZG13" s="1">
        <v>0</v>
      </c>
      <c r="ZH13" s="1">
        <v>0</v>
      </c>
      <c r="ZI13" s="1">
        <v>0</v>
      </c>
      <c r="ZJ13" s="1">
        <v>0</v>
      </c>
      <c r="ZK13" s="1">
        <v>0</v>
      </c>
      <c r="ZL13" s="1">
        <v>3</v>
      </c>
      <c r="ZM13" s="1">
        <v>0</v>
      </c>
      <c r="ZN13" s="1">
        <v>0</v>
      </c>
      <c r="ZO13" s="1">
        <v>0</v>
      </c>
      <c r="ZP13" s="1">
        <v>0</v>
      </c>
      <c r="ZQ13" s="1">
        <v>0</v>
      </c>
      <c r="ZR13" s="1">
        <v>0</v>
      </c>
      <c r="ZS13" s="1">
        <v>0</v>
      </c>
      <c r="ZT13" s="1">
        <v>0</v>
      </c>
      <c r="ZU13" s="1">
        <v>0</v>
      </c>
      <c r="ZV13" s="1">
        <v>0</v>
      </c>
      <c r="ZW13" s="1">
        <v>0</v>
      </c>
      <c r="ZX13" s="1">
        <v>0</v>
      </c>
      <c r="ZY13" s="1">
        <v>0</v>
      </c>
      <c r="ZZ13" s="1">
        <v>0</v>
      </c>
      <c r="AAA13" s="1">
        <v>0</v>
      </c>
      <c r="AAB13" s="1">
        <v>0</v>
      </c>
      <c r="AAC13" s="1">
        <v>0</v>
      </c>
      <c r="AAD13" s="1">
        <v>0</v>
      </c>
      <c r="AAE13" s="1">
        <v>0</v>
      </c>
      <c r="AAF13" s="1">
        <v>0</v>
      </c>
      <c r="AAG13" s="1">
        <v>0</v>
      </c>
      <c r="AAH13" s="1">
        <v>0</v>
      </c>
      <c r="AAI13" s="1">
        <v>0</v>
      </c>
      <c r="AAJ13" s="1">
        <v>0</v>
      </c>
      <c r="AAK13" s="1">
        <v>0</v>
      </c>
      <c r="AAL13" s="1">
        <v>0</v>
      </c>
      <c r="AAM13" s="1">
        <v>0</v>
      </c>
      <c r="AAN13" s="1">
        <v>0</v>
      </c>
      <c r="AAO13" s="1">
        <v>0</v>
      </c>
      <c r="AAP13" s="1">
        <v>0</v>
      </c>
      <c r="AAQ13" s="1">
        <v>0</v>
      </c>
      <c r="AAR13" s="1">
        <v>0</v>
      </c>
      <c r="AAS13" s="1">
        <v>0</v>
      </c>
      <c r="AAT13" s="1">
        <v>0</v>
      </c>
      <c r="AAU13" s="1">
        <v>0</v>
      </c>
      <c r="AAV13" s="1">
        <v>0</v>
      </c>
      <c r="AAW13" s="1">
        <v>0</v>
      </c>
      <c r="AAX13" s="1">
        <v>0</v>
      </c>
      <c r="AAY13" s="1">
        <v>0</v>
      </c>
      <c r="AAZ13" s="1">
        <v>0</v>
      </c>
      <c r="ABA13" s="1">
        <v>0</v>
      </c>
      <c r="ABB13" s="1">
        <v>0</v>
      </c>
      <c r="ABC13" s="1">
        <v>0</v>
      </c>
      <c r="ABD13" s="1">
        <v>0</v>
      </c>
      <c r="ABE13" s="1">
        <v>0</v>
      </c>
      <c r="ABF13" s="1">
        <v>0</v>
      </c>
      <c r="ABG13" s="1">
        <v>0</v>
      </c>
      <c r="ABH13" s="1">
        <v>0</v>
      </c>
      <c r="ABI13" s="1">
        <v>0</v>
      </c>
      <c r="ABJ13" s="1">
        <v>0</v>
      </c>
      <c r="ABK13" s="1">
        <v>0</v>
      </c>
      <c r="ABL13" s="1">
        <v>0</v>
      </c>
      <c r="ABM13" s="1">
        <v>0</v>
      </c>
      <c r="ABN13" s="1">
        <v>0</v>
      </c>
      <c r="ABO13" s="1">
        <v>0</v>
      </c>
      <c r="ABP13" s="1">
        <v>0</v>
      </c>
      <c r="ABQ13" s="1">
        <v>0</v>
      </c>
      <c r="ABR13" s="1">
        <v>0</v>
      </c>
      <c r="ABS13" s="1">
        <v>0</v>
      </c>
      <c r="ABT13" s="1">
        <v>0</v>
      </c>
      <c r="ABU13" s="1">
        <v>0</v>
      </c>
      <c r="ABV13" s="1">
        <v>0</v>
      </c>
      <c r="ABW13" s="1">
        <v>0</v>
      </c>
      <c r="ABX13" s="1">
        <v>0</v>
      </c>
      <c r="ABY13" s="1">
        <v>0</v>
      </c>
      <c r="ABZ13" s="1">
        <v>0</v>
      </c>
      <c r="ACA13" s="1">
        <v>0</v>
      </c>
      <c r="ACB13" s="1">
        <v>0</v>
      </c>
      <c r="ACC13" s="1">
        <v>0</v>
      </c>
    </row>
    <row r="14" spans="1:757">
      <c r="A14" s="1" t="s">
        <v>764</v>
      </c>
      <c r="B14" s="1" t="s">
        <v>793</v>
      </c>
      <c r="C14" s="1" t="s">
        <v>788</v>
      </c>
      <c r="D14" s="1">
        <v>114.29510000000001</v>
      </c>
      <c r="E14" s="1">
        <v>22.340879999999999</v>
      </c>
      <c r="F14" s="1" t="s">
        <v>3034</v>
      </c>
      <c r="G14" s="77">
        <f t="shared" si="0"/>
        <v>82360</v>
      </c>
      <c r="H14" s="1">
        <v>4</v>
      </c>
      <c r="I14" s="1">
        <v>0</v>
      </c>
      <c r="J14" s="1">
        <v>0</v>
      </c>
      <c r="K14" s="1">
        <v>0</v>
      </c>
      <c r="L14" s="1">
        <v>13778</v>
      </c>
      <c r="M14" s="1">
        <v>6835</v>
      </c>
      <c r="N14" s="1">
        <v>7430</v>
      </c>
      <c r="O14" s="1">
        <v>1</v>
      </c>
      <c r="P14" s="1">
        <v>1436</v>
      </c>
      <c r="Q14" s="1">
        <v>0</v>
      </c>
      <c r="R14" s="1">
        <v>4047</v>
      </c>
      <c r="S14" s="1">
        <v>36</v>
      </c>
      <c r="T14" s="1">
        <v>4495</v>
      </c>
      <c r="U14" s="1">
        <v>2693</v>
      </c>
      <c r="V14" s="1">
        <v>1908</v>
      </c>
      <c r="W14" s="1">
        <v>1</v>
      </c>
      <c r="X14" s="1">
        <v>1664</v>
      </c>
      <c r="Y14" s="1">
        <v>58</v>
      </c>
      <c r="Z14" s="1">
        <v>0</v>
      </c>
      <c r="AA14" s="1">
        <v>3631</v>
      </c>
      <c r="AB14" s="1">
        <v>1566</v>
      </c>
      <c r="AC14" s="1">
        <v>2</v>
      </c>
      <c r="AD14" s="1">
        <v>3915</v>
      </c>
      <c r="AE14" s="1">
        <v>0</v>
      </c>
      <c r="AF14" s="1">
        <v>1226</v>
      </c>
      <c r="AG14" s="1">
        <v>3620</v>
      </c>
      <c r="AH14" s="1">
        <v>0</v>
      </c>
      <c r="AI14" s="1">
        <v>0</v>
      </c>
      <c r="AJ14" s="1">
        <v>6</v>
      </c>
      <c r="AK14" s="1">
        <v>1311</v>
      </c>
      <c r="AL14" s="1">
        <v>1</v>
      </c>
      <c r="AM14" s="1">
        <v>894</v>
      </c>
      <c r="AN14" s="1">
        <v>813</v>
      </c>
      <c r="AO14" s="1">
        <v>42</v>
      </c>
      <c r="AP14" s="1">
        <v>695</v>
      </c>
      <c r="AQ14" s="1">
        <v>793</v>
      </c>
      <c r="AR14" s="1">
        <v>0</v>
      </c>
      <c r="AS14" s="1">
        <v>1</v>
      </c>
      <c r="AT14" s="1">
        <v>549</v>
      </c>
      <c r="AU14" s="1">
        <v>0</v>
      </c>
      <c r="AV14" s="1">
        <v>0</v>
      </c>
      <c r="AW14" s="1">
        <v>1</v>
      </c>
      <c r="AX14" s="1">
        <v>0</v>
      </c>
      <c r="AY14" s="1">
        <v>0</v>
      </c>
      <c r="AZ14" s="1">
        <v>1065</v>
      </c>
      <c r="BA14" s="1">
        <v>722</v>
      </c>
      <c r="BB14" s="1">
        <v>0</v>
      </c>
      <c r="BC14" s="1">
        <v>0</v>
      </c>
      <c r="BD14" s="1">
        <v>1</v>
      </c>
      <c r="BE14" s="1">
        <v>0</v>
      </c>
      <c r="BF14" s="1">
        <v>0</v>
      </c>
      <c r="BG14" s="1">
        <v>183</v>
      </c>
      <c r="BH14" s="1">
        <v>0</v>
      </c>
      <c r="BI14" s="1">
        <v>658</v>
      </c>
      <c r="BJ14" s="1">
        <v>6</v>
      </c>
      <c r="BK14" s="1">
        <v>612</v>
      </c>
      <c r="BL14" s="1">
        <v>16</v>
      </c>
      <c r="BM14" s="1">
        <v>1073</v>
      </c>
      <c r="BN14" s="1">
        <v>0</v>
      </c>
      <c r="BO14" s="1">
        <v>505</v>
      </c>
      <c r="BP14" s="1">
        <v>0</v>
      </c>
      <c r="BQ14" s="1">
        <v>0</v>
      </c>
      <c r="BR14" s="1">
        <v>0</v>
      </c>
      <c r="BS14" s="1">
        <v>658</v>
      </c>
      <c r="BT14" s="1">
        <v>9</v>
      </c>
      <c r="BU14" s="1">
        <v>886</v>
      </c>
      <c r="BV14" s="1">
        <v>0</v>
      </c>
      <c r="BW14" s="1">
        <v>59</v>
      </c>
      <c r="BX14" s="1">
        <v>855</v>
      </c>
      <c r="BY14" s="1">
        <v>308</v>
      </c>
      <c r="BZ14" s="1">
        <v>0</v>
      </c>
      <c r="CA14" s="1">
        <v>2</v>
      </c>
      <c r="CB14" s="1">
        <v>0</v>
      </c>
      <c r="CC14" s="1">
        <v>0</v>
      </c>
      <c r="CD14" s="1">
        <v>2</v>
      </c>
      <c r="CE14" s="1">
        <v>0</v>
      </c>
      <c r="CF14" s="1">
        <v>146</v>
      </c>
      <c r="CG14" s="1">
        <v>102</v>
      </c>
      <c r="CH14" s="1">
        <v>0</v>
      </c>
      <c r="CI14" s="1">
        <v>0</v>
      </c>
      <c r="CJ14" s="1">
        <v>2</v>
      </c>
      <c r="CK14" s="1">
        <v>0</v>
      </c>
      <c r="CL14" s="1">
        <v>1</v>
      </c>
      <c r="CM14" s="1">
        <v>179</v>
      </c>
      <c r="CN14" s="1">
        <v>0</v>
      </c>
      <c r="CO14" s="1">
        <v>3</v>
      </c>
      <c r="CP14" s="1">
        <v>22</v>
      </c>
      <c r="CQ14" s="1">
        <v>0</v>
      </c>
      <c r="CR14" s="1">
        <v>210</v>
      </c>
      <c r="CS14" s="1">
        <v>0</v>
      </c>
      <c r="CT14" s="1">
        <v>0</v>
      </c>
      <c r="CU14" s="1">
        <v>0</v>
      </c>
      <c r="CV14" s="1">
        <v>62</v>
      </c>
      <c r="CW14" s="1">
        <v>70</v>
      </c>
      <c r="CX14" s="1">
        <v>0</v>
      </c>
      <c r="CY14" s="1">
        <v>0</v>
      </c>
      <c r="CZ14" s="1">
        <v>15</v>
      </c>
      <c r="DA14" s="1">
        <v>157</v>
      </c>
      <c r="DB14" s="1">
        <v>252</v>
      </c>
      <c r="DC14" s="1">
        <v>509</v>
      </c>
      <c r="DD14" s="1">
        <v>8</v>
      </c>
      <c r="DE14" s="1">
        <v>0</v>
      </c>
      <c r="DF14" s="1">
        <v>0</v>
      </c>
      <c r="DG14" s="1">
        <v>463</v>
      </c>
      <c r="DH14" s="1">
        <v>9</v>
      </c>
      <c r="DI14" s="1">
        <v>165</v>
      </c>
      <c r="DJ14" s="1">
        <v>0</v>
      </c>
      <c r="DK14" s="1">
        <v>267</v>
      </c>
      <c r="DL14" s="1">
        <v>43</v>
      </c>
      <c r="DM14" s="1">
        <v>0</v>
      </c>
      <c r="DN14" s="1">
        <v>0</v>
      </c>
      <c r="DO14" s="1">
        <v>452</v>
      </c>
      <c r="DP14" s="1">
        <v>0</v>
      </c>
      <c r="DQ14" s="1">
        <v>369</v>
      </c>
      <c r="DR14" s="1">
        <v>214</v>
      </c>
      <c r="DS14" s="1">
        <v>0</v>
      </c>
      <c r="DT14" s="1">
        <v>0</v>
      </c>
      <c r="DU14" s="1">
        <v>0</v>
      </c>
      <c r="DV14" s="1">
        <v>0</v>
      </c>
      <c r="DW14" s="1">
        <v>89</v>
      </c>
      <c r="DX14" s="1">
        <v>149</v>
      </c>
      <c r="DY14" s="1">
        <v>1</v>
      </c>
      <c r="DZ14" s="1">
        <v>10</v>
      </c>
      <c r="EA14" s="1">
        <v>0</v>
      </c>
      <c r="EB14" s="1">
        <v>2</v>
      </c>
      <c r="EC14" s="1">
        <v>0</v>
      </c>
      <c r="ED14" s="1">
        <v>90</v>
      </c>
      <c r="EE14" s="1">
        <v>336</v>
      </c>
      <c r="EF14" s="1">
        <v>0</v>
      </c>
      <c r="EG14" s="1">
        <v>31</v>
      </c>
      <c r="EH14" s="1">
        <v>140</v>
      </c>
      <c r="EI14" s="1">
        <v>0</v>
      </c>
      <c r="EJ14" s="1">
        <v>135</v>
      </c>
      <c r="EK14" s="1">
        <v>315</v>
      </c>
      <c r="EL14" s="1">
        <v>164</v>
      </c>
      <c r="EM14" s="1">
        <v>0</v>
      </c>
      <c r="EN14" s="1">
        <v>5</v>
      </c>
      <c r="EO14" s="1">
        <v>0</v>
      </c>
      <c r="EP14" s="1">
        <v>0</v>
      </c>
      <c r="EQ14" s="1">
        <v>176</v>
      </c>
      <c r="ER14" s="1">
        <v>2</v>
      </c>
      <c r="ES14" s="1">
        <v>12</v>
      </c>
      <c r="ET14" s="1">
        <v>50</v>
      </c>
      <c r="EU14" s="1">
        <v>247</v>
      </c>
      <c r="EV14" s="1">
        <v>104</v>
      </c>
      <c r="EW14" s="1">
        <v>0</v>
      </c>
      <c r="EX14" s="1">
        <v>274</v>
      </c>
      <c r="EY14" s="1">
        <v>0</v>
      </c>
      <c r="EZ14" s="1">
        <v>4</v>
      </c>
      <c r="FA14" s="1">
        <v>0</v>
      </c>
      <c r="FB14" s="1">
        <v>0</v>
      </c>
      <c r="FC14" s="1">
        <v>244</v>
      </c>
      <c r="FD14" s="1">
        <v>77</v>
      </c>
      <c r="FE14" s="1">
        <v>0</v>
      </c>
      <c r="FF14" s="1">
        <v>12</v>
      </c>
      <c r="FG14" s="1">
        <v>221</v>
      </c>
      <c r="FH14" s="1">
        <v>89</v>
      </c>
      <c r="FI14" s="1">
        <v>4</v>
      </c>
      <c r="FJ14" s="1">
        <v>223</v>
      </c>
      <c r="FK14" s="1">
        <v>25</v>
      </c>
      <c r="FL14" s="1">
        <v>0</v>
      </c>
      <c r="FM14" s="1">
        <v>3</v>
      </c>
      <c r="FN14" s="1">
        <v>0</v>
      </c>
      <c r="FO14" s="1">
        <v>12</v>
      </c>
      <c r="FP14" s="1">
        <v>0</v>
      </c>
      <c r="FQ14" s="1">
        <v>30</v>
      </c>
      <c r="FR14" s="1">
        <v>213</v>
      </c>
      <c r="FS14" s="1">
        <v>0</v>
      </c>
      <c r="FT14" s="1">
        <v>2</v>
      </c>
      <c r="FU14" s="1">
        <v>0</v>
      </c>
      <c r="FV14" s="1">
        <v>23</v>
      </c>
      <c r="FW14" s="1">
        <v>0</v>
      </c>
      <c r="FX14" s="1">
        <v>0</v>
      </c>
      <c r="FY14" s="1">
        <v>187</v>
      </c>
      <c r="FZ14" s="1">
        <v>117</v>
      </c>
      <c r="GA14" s="1">
        <v>0</v>
      </c>
      <c r="GB14" s="1">
        <v>5</v>
      </c>
      <c r="GC14" s="1">
        <v>0</v>
      </c>
      <c r="GD14" s="1">
        <v>0</v>
      </c>
      <c r="GE14" s="1">
        <v>31</v>
      </c>
      <c r="GF14" s="1">
        <v>12</v>
      </c>
      <c r="GG14" s="1">
        <v>0</v>
      </c>
      <c r="GH14" s="1">
        <v>148</v>
      </c>
      <c r="GI14" s="1">
        <v>179</v>
      </c>
      <c r="GJ14" s="1">
        <v>0</v>
      </c>
      <c r="GK14" s="1">
        <v>12</v>
      </c>
      <c r="GL14" s="1">
        <v>5</v>
      </c>
      <c r="GM14" s="1">
        <v>175</v>
      </c>
      <c r="GN14" s="1">
        <v>172</v>
      </c>
      <c r="GO14" s="1">
        <v>115</v>
      </c>
      <c r="GP14" s="1">
        <v>0</v>
      </c>
      <c r="GQ14" s="1">
        <v>0</v>
      </c>
      <c r="GR14" s="1">
        <v>4</v>
      </c>
      <c r="GS14" s="1">
        <v>0</v>
      </c>
      <c r="GT14" s="1">
        <v>4</v>
      </c>
      <c r="GU14" s="1">
        <v>0</v>
      </c>
      <c r="GV14" s="1">
        <v>1</v>
      </c>
      <c r="GW14" s="1">
        <v>0</v>
      </c>
      <c r="GX14" s="1">
        <v>153</v>
      </c>
      <c r="GY14" s="1">
        <v>0</v>
      </c>
      <c r="GZ14" s="1">
        <v>3</v>
      </c>
      <c r="HA14" s="1">
        <v>0</v>
      </c>
      <c r="HB14" s="1">
        <v>0</v>
      </c>
      <c r="HC14" s="1">
        <v>151</v>
      </c>
      <c r="HD14" s="1">
        <v>1</v>
      </c>
      <c r="HE14" s="1">
        <v>1</v>
      </c>
      <c r="HF14" s="1">
        <v>95</v>
      </c>
      <c r="HG14" s="1">
        <v>0</v>
      </c>
      <c r="HH14" s="1">
        <v>47</v>
      </c>
      <c r="HI14" s="1">
        <v>11</v>
      </c>
      <c r="HJ14" s="1">
        <v>25</v>
      </c>
      <c r="HK14" s="1">
        <v>0</v>
      </c>
      <c r="HL14" s="1">
        <v>0</v>
      </c>
      <c r="HM14" s="1">
        <v>0</v>
      </c>
      <c r="HN14" s="1">
        <v>109</v>
      </c>
      <c r="HO14" s="1">
        <v>0</v>
      </c>
      <c r="HP14" s="1">
        <v>0</v>
      </c>
      <c r="HQ14" s="1">
        <v>0</v>
      </c>
      <c r="HR14" s="1">
        <v>1</v>
      </c>
      <c r="HS14" s="1">
        <v>0</v>
      </c>
      <c r="HT14" s="1">
        <v>0</v>
      </c>
      <c r="HU14" s="1">
        <v>0</v>
      </c>
      <c r="HV14" s="1">
        <v>124</v>
      </c>
      <c r="HW14" s="1">
        <v>79</v>
      </c>
      <c r="HX14" s="1">
        <v>0</v>
      </c>
      <c r="HY14" s="1">
        <v>0</v>
      </c>
      <c r="HZ14" s="1">
        <v>0</v>
      </c>
      <c r="IA14" s="1">
        <v>1</v>
      </c>
      <c r="IB14" s="1">
        <v>0</v>
      </c>
      <c r="IC14" s="1">
        <v>3</v>
      </c>
      <c r="ID14" s="1">
        <v>77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43</v>
      </c>
      <c r="IK14" s="1">
        <v>0</v>
      </c>
      <c r="IL14" s="1">
        <v>1</v>
      </c>
      <c r="IM14" s="1">
        <v>1</v>
      </c>
      <c r="IN14" s="1">
        <v>0</v>
      </c>
      <c r="IO14" s="1">
        <v>0</v>
      </c>
      <c r="IP14" s="1">
        <v>14</v>
      </c>
      <c r="IQ14" s="1">
        <v>2</v>
      </c>
      <c r="IR14" s="1">
        <v>82</v>
      </c>
      <c r="IS14" s="1">
        <v>101</v>
      </c>
      <c r="IT14" s="1">
        <v>100</v>
      </c>
      <c r="IU14" s="1">
        <v>0</v>
      </c>
      <c r="IV14" s="1">
        <v>3</v>
      </c>
      <c r="IW14" s="1">
        <v>0</v>
      </c>
      <c r="IX14" s="1">
        <v>0</v>
      </c>
      <c r="IY14" s="1">
        <v>0</v>
      </c>
      <c r="IZ14" s="1">
        <v>0</v>
      </c>
      <c r="JA14" s="1">
        <v>15</v>
      </c>
      <c r="JB14" s="1">
        <v>0</v>
      </c>
      <c r="JC14" s="1">
        <v>0</v>
      </c>
      <c r="JD14" s="1">
        <v>67</v>
      </c>
      <c r="JE14" s="1">
        <v>0</v>
      </c>
      <c r="JF14" s="1">
        <v>0</v>
      </c>
      <c r="JG14" s="1">
        <v>0</v>
      </c>
      <c r="JH14" s="1">
        <v>0</v>
      </c>
      <c r="JI14" s="1">
        <v>46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4</v>
      </c>
      <c r="JP14" s="1">
        <v>49</v>
      </c>
      <c r="JQ14" s="1">
        <v>0</v>
      </c>
      <c r="JR14" s="1">
        <v>0</v>
      </c>
      <c r="JS14" s="1">
        <v>29</v>
      </c>
      <c r="JT14" s="1">
        <v>0</v>
      </c>
      <c r="JU14" s="1">
        <v>2</v>
      </c>
      <c r="JV14" s="1">
        <v>0</v>
      </c>
      <c r="JW14" s="1">
        <v>66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1</v>
      </c>
      <c r="KH14" s="1">
        <v>0</v>
      </c>
      <c r="KI14" s="1">
        <v>0</v>
      </c>
      <c r="KJ14" s="1">
        <v>0</v>
      </c>
      <c r="KK14" s="1">
        <v>7</v>
      </c>
      <c r="KL14" s="1">
        <v>0</v>
      </c>
      <c r="KM14" s="1">
        <v>0</v>
      </c>
      <c r="KN14" s="1">
        <v>2</v>
      </c>
      <c r="KO14" s="1">
        <v>0</v>
      </c>
      <c r="KP14" s="1">
        <v>0</v>
      </c>
      <c r="KQ14" s="1">
        <v>0</v>
      </c>
      <c r="KR14" s="1">
        <v>2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56</v>
      </c>
      <c r="KY14" s="1">
        <v>0</v>
      </c>
      <c r="KZ14" s="1">
        <v>0</v>
      </c>
      <c r="LA14" s="1">
        <v>20</v>
      </c>
      <c r="LB14" s="1">
        <v>0</v>
      </c>
      <c r="LC14" s="1">
        <v>1</v>
      </c>
      <c r="LD14" s="1">
        <v>0</v>
      </c>
      <c r="LE14" s="1">
        <v>20</v>
      </c>
      <c r="LF14" s="1">
        <v>43</v>
      </c>
      <c r="LG14" s="1">
        <v>0</v>
      </c>
      <c r="LH14" s="1">
        <v>0</v>
      </c>
      <c r="LI14" s="1">
        <v>0</v>
      </c>
      <c r="LJ14" s="1">
        <v>56</v>
      </c>
      <c r="LK14" s="1">
        <v>2</v>
      </c>
      <c r="LL14" s="1">
        <v>0</v>
      </c>
      <c r="LM14" s="1">
        <v>2</v>
      </c>
      <c r="LN14" s="1">
        <v>0</v>
      </c>
      <c r="LO14" s="1">
        <v>11</v>
      </c>
      <c r="LP14" s="1">
        <v>39</v>
      </c>
      <c r="LQ14" s="1">
        <v>0</v>
      </c>
      <c r="LR14" s="1">
        <v>35</v>
      </c>
      <c r="LS14" s="1">
        <v>0</v>
      </c>
      <c r="LT14" s="1">
        <v>0</v>
      </c>
      <c r="LU14" s="1">
        <v>43</v>
      </c>
      <c r="LV14" s="1">
        <v>57</v>
      </c>
      <c r="LW14" s="1">
        <v>0</v>
      </c>
      <c r="LX14" s="1">
        <v>0</v>
      </c>
      <c r="LY14" s="1">
        <v>0</v>
      </c>
      <c r="LZ14" s="1">
        <v>57</v>
      </c>
      <c r="MA14" s="1">
        <v>4</v>
      </c>
      <c r="MB14" s="1">
        <v>0</v>
      </c>
      <c r="MC14" s="1">
        <v>0</v>
      </c>
      <c r="MD14" s="1">
        <v>0</v>
      </c>
      <c r="ME14" s="1">
        <v>0</v>
      </c>
      <c r="MF14" s="1">
        <v>18</v>
      </c>
      <c r="MG14" s="1">
        <v>0</v>
      </c>
      <c r="MH14" s="1">
        <v>39</v>
      </c>
      <c r="MI14" s="1">
        <v>0</v>
      </c>
      <c r="MJ14" s="1">
        <v>2</v>
      </c>
      <c r="MK14" s="1">
        <v>50</v>
      </c>
      <c r="ML14" s="1">
        <v>2</v>
      </c>
      <c r="MM14" s="1">
        <v>47</v>
      </c>
      <c r="MN14" s="1">
        <v>0</v>
      </c>
      <c r="MO14" s="1">
        <v>42</v>
      </c>
      <c r="MP14" s="1">
        <v>4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11</v>
      </c>
      <c r="MY14" s="1">
        <v>0</v>
      </c>
      <c r="MZ14" s="1">
        <v>0</v>
      </c>
      <c r="NA14" s="1">
        <v>3</v>
      </c>
      <c r="NB14" s="1">
        <v>8</v>
      </c>
      <c r="NC14" s="1">
        <v>0</v>
      </c>
      <c r="ND14" s="1">
        <v>0</v>
      </c>
      <c r="NE14" s="1">
        <v>0</v>
      </c>
      <c r="NF14" s="1">
        <v>3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42</v>
      </c>
      <c r="NM14" s="1">
        <v>0</v>
      </c>
      <c r="NN14" s="1">
        <v>0</v>
      </c>
      <c r="NO14" s="1">
        <v>0</v>
      </c>
      <c r="NP14" s="1">
        <v>0</v>
      </c>
      <c r="NQ14" s="1">
        <v>40</v>
      </c>
      <c r="NR14" s="1">
        <v>3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0</v>
      </c>
      <c r="NZ14" s="1">
        <v>0</v>
      </c>
      <c r="OA14" s="1">
        <v>0</v>
      </c>
      <c r="OB14" s="1">
        <v>2</v>
      </c>
      <c r="OC14" s="1">
        <v>5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35</v>
      </c>
      <c r="OL14" s="1">
        <v>0</v>
      </c>
      <c r="OM14" s="1">
        <v>0</v>
      </c>
      <c r="ON14" s="1">
        <v>0</v>
      </c>
      <c r="OO14" s="1">
        <v>0</v>
      </c>
      <c r="OP14" s="1">
        <v>7</v>
      </c>
      <c r="OQ14" s="1">
        <v>0</v>
      </c>
      <c r="OR14" s="1">
        <v>0</v>
      </c>
      <c r="OS14" s="1">
        <v>0</v>
      </c>
      <c r="OT14" s="1">
        <v>0</v>
      </c>
      <c r="OU14" s="1">
        <v>0</v>
      </c>
      <c r="OV14" s="1">
        <v>0</v>
      </c>
      <c r="OW14" s="1">
        <v>0</v>
      </c>
      <c r="OX14" s="1">
        <v>0</v>
      </c>
      <c r="OY14" s="1">
        <v>0</v>
      </c>
      <c r="OZ14" s="1">
        <v>8</v>
      </c>
      <c r="PA14" s="1">
        <v>33</v>
      </c>
      <c r="PB14" s="1">
        <v>5</v>
      </c>
      <c r="PC14" s="1">
        <v>0</v>
      </c>
      <c r="PD14" s="1">
        <v>0</v>
      </c>
      <c r="PE14" s="1">
        <v>0</v>
      </c>
      <c r="PF14" s="1">
        <v>0</v>
      </c>
      <c r="PG14" s="1">
        <v>0</v>
      </c>
      <c r="PH14" s="1">
        <v>0</v>
      </c>
      <c r="PI14" s="1">
        <v>0</v>
      </c>
      <c r="PJ14" s="1">
        <v>0</v>
      </c>
      <c r="PK14" s="1">
        <v>22</v>
      </c>
      <c r="PL14" s="1">
        <v>0</v>
      </c>
      <c r="PM14" s="1">
        <v>0</v>
      </c>
      <c r="PN14" s="1">
        <v>2</v>
      </c>
      <c r="PO14" s="1">
        <v>31</v>
      </c>
      <c r="PP14" s="1">
        <v>0</v>
      </c>
      <c r="PQ14" s="1">
        <v>0</v>
      </c>
      <c r="PR14" s="1">
        <v>0</v>
      </c>
      <c r="PS14" s="1">
        <v>1</v>
      </c>
      <c r="PT14" s="1">
        <v>0</v>
      </c>
      <c r="PU14" s="1">
        <v>0</v>
      </c>
      <c r="PV14" s="1">
        <v>27</v>
      </c>
      <c r="PW14" s="1">
        <v>0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2</v>
      </c>
      <c r="QE14" s="1">
        <v>0</v>
      </c>
      <c r="QF14" s="1">
        <v>1</v>
      </c>
      <c r="QG14" s="1">
        <v>7</v>
      </c>
      <c r="QH14" s="1">
        <v>4</v>
      </c>
      <c r="QI14" s="1">
        <v>0</v>
      </c>
      <c r="QJ14" s="1">
        <v>0</v>
      </c>
      <c r="QK14" s="1">
        <v>19</v>
      </c>
      <c r="QL14" s="1">
        <v>3</v>
      </c>
      <c r="QM14" s="1">
        <v>0</v>
      </c>
      <c r="QN14" s="1">
        <v>2</v>
      </c>
      <c r="QO14" s="1">
        <v>27</v>
      </c>
      <c r="QP14" s="1">
        <v>0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0</v>
      </c>
      <c r="QX14" s="1">
        <v>0</v>
      </c>
      <c r="QY14" s="1">
        <v>0</v>
      </c>
      <c r="QZ14" s="1">
        <v>1</v>
      </c>
      <c r="RA14" s="1">
        <v>22</v>
      </c>
      <c r="RB14" s="1">
        <v>0</v>
      </c>
      <c r="RC14" s="1">
        <v>0</v>
      </c>
      <c r="RD14" s="1">
        <v>0</v>
      </c>
      <c r="RE14" s="1">
        <v>0</v>
      </c>
      <c r="RF14" s="1">
        <v>0</v>
      </c>
      <c r="RG14" s="1">
        <v>5</v>
      </c>
      <c r="RH14" s="1">
        <v>18</v>
      </c>
      <c r="RI14" s="1">
        <v>2</v>
      </c>
      <c r="RJ14" s="1">
        <v>0</v>
      </c>
      <c r="RK14" s="1">
        <v>0</v>
      </c>
      <c r="RL14" s="1">
        <v>0</v>
      </c>
      <c r="RM14" s="1">
        <v>0</v>
      </c>
      <c r="RN14" s="1">
        <v>0</v>
      </c>
      <c r="RO14" s="1">
        <v>3</v>
      </c>
      <c r="RP14" s="1">
        <v>0</v>
      </c>
      <c r="RQ14" s="1">
        <v>22</v>
      </c>
      <c r="RR14" s="1">
        <v>22</v>
      </c>
      <c r="RS14" s="1">
        <v>0</v>
      </c>
      <c r="RT14" s="1">
        <v>0</v>
      </c>
      <c r="RU14" s="1">
        <v>0</v>
      </c>
      <c r="RV14" s="1">
        <v>5</v>
      </c>
      <c r="RW14" s="1">
        <v>11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15</v>
      </c>
      <c r="SE14" s="1">
        <v>0</v>
      </c>
      <c r="SF14" s="1">
        <v>0</v>
      </c>
      <c r="SG14" s="1">
        <v>20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  <c r="SS14" s="1">
        <v>12</v>
      </c>
      <c r="ST14" s="1">
        <v>17</v>
      </c>
      <c r="SU14" s="1">
        <v>6</v>
      </c>
      <c r="SV14" s="1">
        <v>18</v>
      </c>
      <c r="SW14" s="1">
        <v>0</v>
      </c>
      <c r="SX14" s="1">
        <v>0</v>
      </c>
      <c r="SY14" s="1">
        <v>0</v>
      </c>
      <c r="SZ14" s="1">
        <v>0</v>
      </c>
      <c r="TA14" s="1">
        <v>0</v>
      </c>
      <c r="TB14" s="1">
        <v>0</v>
      </c>
      <c r="TC14" s="1">
        <v>2</v>
      </c>
      <c r="TD14" s="1">
        <v>0</v>
      </c>
      <c r="TE14" s="1">
        <v>0</v>
      </c>
      <c r="TF14" s="1">
        <v>0</v>
      </c>
      <c r="TG14" s="1">
        <v>0</v>
      </c>
      <c r="TH14" s="1">
        <v>0</v>
      </c>
      <c r="TI14" s="1">
        <v>0</v>
      </c>
      <c r="TJ14" s="1">
        <v>0</v>
      </c>
      <c r="TK14" s="1">
        <v>0</v>
      </c>
      <c r="TL14" s="1">
        <v>0</v>
      </c>
      <c r="TM14" s="1">
        <v>14</v>
      </c>
      <c r="TN14" s="1">
        <v>3</v>
      </c>
      <c r="TO14" s="1">
        <v>0</v>
      </c>
      <c r="TP14" s="1">
        <v>0</v>
      </c>
      <c r="TQ14" s="1">
        <v>5</v>
      </c>
      <c r="TR14" s="1">
        <v>0</v>
      </c>
      <c r="TS14" s="1">
        <v>0</v>
      </c>
      <c r="TT14" s="1">
        <v>0</v>
      </c>
      <c r="TU14" s="1">
        <v>0</v>
      </c>
      <c r="TV14" s="1">
        <v>0</v>
      </c>
      <c r="TW14" s="1">
        <v>0</v>
      </c>
      <c r="TX14" s="1">
        <v>0</v>
      </c>
      <c r="TY14" s="1">
        <v>0</v>
      </c>
      <c r="TZ14" s="1">
        <v>0</v>
      </c>
      <c r="UA14" s="1">
        <v>0</v>
      </c>
      <c r="UB14" s="1">
        <v>15</v>
      </c>
      <c r="UC14" s="1">
        <v>14</v>
      </c>
      <c r="UD14" s="1">
        <v>0</v>
      </c>
      <c r="UE14" s="1">
        <v>0</v>
      </c>
      <c r="UF14" s="1">
        <v>0</v>
      </c>
      <c r="UG14" s="1">
        <v>0</v>
      </c>
      <c r="UH14" s="1">
        <v>0</v>
      </c>
      <c r="UI14" s="1">
        <v>0</v>
      </c>
      <c r="UJ14" s="1">
        <v>0</v>
      </c>
      <c r="UK14" s="1">
        <v>0</v>
      </c>
      <c r="UL14" s="1">
        <v>0</v>
      </c>
      <c r="UM14" s="1">
        <v>0</v>
      </c>
      <c r="UN14" s="1">
        <v>3</v>
      </c>
      <c r="UO14" s="1">
        <v>0</v>
      </c>
      <c r="UP14" s="1">
        <v>12</v>
      </c>
      <c r="UQ14" s="1">
        <v>12</v>
      </c>
      <c r="UR14" s="1">
        <v>13</v>
      </c>
      <c r="US14" s="1">
        <v>0</v>
      </c>
      <c r="UT14" s="1">
        <v>0</v>
      </c>
      <c r="UU14" s="1">
        <v>0</v>
      </c>
      <c r="UV14" s="1">
        <v>0</v>
      </c>
      <c r="UW14" s="1">
        <v>0</v>
      </c>
      <c r="UX14" s="1">
        <v>0</v>
      </c>
      <c r="UY14" s="1">
        <v>0</v>
      </c>
      <c r="UZ14" s="1">
        <v>0</v>
      </c>
      <c r="VA14" s="1">
        <v>1</v>
      </c>
      <c r="VB14" s="1">
        <v>2</v>
      </c>
      <c r="VC14" s="1">
        <v>0</v>
      </c>
      <c r="VD14" s="1">
        <v>0</v>
      </c>
      <c r="VE14" s="1">
        <v>0</v>
      </c>
      <c r="VF14" s="1">
        <v>5</v>
      </c>
      <c r="VG14" s="1">
        <v>10</v>
      </c>
      <c r="VH14" s="1">
        <v>0</v>
      </c>
      <c r="VI14" s="1">
        <v>0</v>
      </c>
      <c r="VJ14" s="1">
        <v>0</v>
      </c>
      <c r="VK14" s="1">
        <v>0</v>
      </c>
      <c r="VL14" s="1">
        <v>0</v>
      </c>
      <c r="VM14" s="1">
        <v>0</v>
      </c>
      <c r="VN14" s="1">
        <v>0</v>
      </c>
      <c r="VO14" s="1">
        <v>0</v>
      </c>
      <c r="VP14" s="1">
        <v>0</v>
      </c>
      <c r="VQ14" s="1">
        <v>0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 s="1">
        <v>0</v>
      </c>
      <c r="VX14" s="1">
        <v>0</v>
      </c>
      <c r="VY14" s="1">
        <v>0</v>
      </c>
      <c r="VZ14" s="1">
        <v>1</v>
      </c>
      <c r="WA14" s="1">
        <v>0</v>
      </c>
      <c r="WB14" s="1">
        <v>0</v>
      </c>
      <c r="WC14" s="1">
        <v>0</v>
      </c>
      <c r="WD14" s="1">
        <v>0</v>
      </c>
      <c r="WE14" s="1">
        <v>0</v>
      </c>
      <c r="WF14" s="1">
        <v>0</v>
      </c>
      <c r="WG14" s="1">
        <v>0</v>
      </c>
      <c r="WH14" s="1">
        <v>0</v>
      </c>
      <c r="WI14" s="1">
        <v>0</v>
      </c>
      <c r="WJ14" s="1">
        <v>0</v>
      </c>
      <c r="WK14" s="1">
        <v>0</v>
      </c>
      <c r="WL14" s="1">
        <v>0</v>
      </c>
      <c r="WM14" s="1">
        <v>0</v>
      </c>
      <c r="WN14" s="1">
        <v>5</v>
      </c>
      <c r="WO14" s="1">
        <v>0</v>
      </c>
      <c r="WP14" s="1">
        <v>0</v>
      </c>
      <c r="WQ14" s="1">
        <v>0</v>
      </c>
      <c r="WR14" s="1">
        <v>5</v>
      </c>
      <c r="WS14" s="1">
        <v>0</v>
      </c>
      <c r="WT14" s="1">
        <v>0</v>
      </c>
      <c r="WU14" s="1">
        <v>0</v>
      </c>
      <c r="WV14" s="1">
        <v>0</v>
      </c>
      <c r="WW14" s="1">
        <v>0</v>
      </c>
      <c r="WX14" s="1">
        <v>0</v>
      </c>
      <c r="WY14" s="1">
        <v>0</v>
      </c>
      <c r="WZ14" s="1">
        <v>0</v>
      </c>
      <c r="XA14" s="1">
        <v>0</v>
      </c>
      <c r="XB14" s="1">
        <v>0</v>
      </c>
      <c r="XC14" s="1">
        <v>0</v>
      </c>
      <c r="XD14" s="1">
        <v>7</v>
      </c>
      <c r="XE14" s="1">
        <v>0</v>
      </c>
      <c r="XF14" s="1">
        <v>0</v>
      </c>
      <c r="XG14" s="1">
        <v>2</v>
      </c>
      <c r="XH14" s="1">
        <v>8</v>
      </c>
      <c r="XI14" s="1">
        <v>0</v>
      </c>
      <c r="XJ14" s="1">
        <v>0</v>
      </c>
      <c r="XK14" s="1">
        <v>0</v>
      </c>
      <c r="XL14" s="1">
        <v>0</v>
      </c>
      <c r="XM14" s="1">
        <v>0</v>
      </c>
      <c r="XN14" s="1">
        <v>0</v>
      </c>
      <c r="XO14" s="1">
        <v>0</v>
      </c>
      <c r="XP14" s="1">
        <v>0</v>
      </c>
      <c r="XQ14" s="1">
        <v>0</v>
      </c>
      <c r="XR14" s="1">
        <v>0</v>
      </c>
      <c r="XS14" s="1">
        <v>0</v>
      </c>
      <c r="XT14" s="1">
        <v>0</v>
      </c>
      <c r="XU14" s="1">
        <v>0</v>
      </c>
      <c r="XV14" s="1">
        <v>0</v>
      </c>
      <c r="XW14" s="1">
        <v>1</v>
      </c>
      <c r="XX14" s="1">
        <v>0</v>
      </c>
      <c r="XY14" s="1">
        <v>0</v>
      </c>
      <c r="XZ14" s="1">
        <v>0</v>
      </c>
      <c r="YA14" s="1">
        <v>0</v>
      </c>
      <c r="YB14" s="1">
        <v>3</v>
      </c>
      <c r="YC14" s="1">
        <v>0</v>
      </c>
      <c r="YD14" s="1">
        <v>0</v>
      </c>
      <c r="YE14" s="1">
        <v>0</v>
      </c>
      <c r="YF14" s="1">
        <v>0</v>
      </c>
      <c r="YG14" s="1">
        <v>0</v>
      </c>
      <c r="YH14" s="1">
        <v>0</v>
      </c>
      <c r="YI14" s="1">
        <v>0</v>
      </c>
      <c r="YJ14" s="1">
        <v>0</v>
      </c>
      <c r="YK14" s="1">
        <v>0</v>
      </c>
      <c r="YL14" s="1">
        <v>0</v>
      </c>
      <c r="YM14" s="1">
        <v>0</v>
      </c>
      <c r="YN14" s="1">
        <v>0</v>
      </c>
      <c r="YO14" s="1">
        <v>0</v>
      </c>
      <c r="YP14" s="1">
        <v>0</v>
      </c>
      <c r="YQ14" s="1">
        <v>0</v>
      </c>
      <c r="YR14" s="1">
        <v>6</v>
      </c>
      <c r="YS14" s="1">
        <v>0</v>
      </c>
      <c r="YT14" s="1">
        <v>0</v>
      </c>
      <c r="YU14" s="1">
        <v>0</v>
      </c>
      <c r="YV14" s="1">
        <v>0</v>
      </c>
      <c r="YW14" s="1">
        <v>0</v>
      </c>
      <c r="YX14" s="1">
        <v>0</v>
      </c>
      <c r="YY14" s="1">
        <v>0</v>
      </c>
      <c r="YZ14" s="1">
        <v>1</v>
      </c>
      <c r="ZA14" s="1">
        <v>0</v>
      </c>
      <c r="ZB14" s="1">
        <v>0</v>
      </c>
      <c r="ZC14" s="1">
        <v>0</v>
      </c>
      <c r="ZD14" s="1">
        <v>0</v>
      </c>
      <c r="ZE14" s="1">
        <v>0</v>
      </c>
      <c r="ZF14" s="1">
        <v>0</v>
      </c>
      <c r="ZG14" s="1">
        <v>0</v>
      </c>
      <c r="ZH14" s="1">
        <v>4</v>
      </c>
      <c r="ZI14" s="1">
        <v>0</v>
      </c>
      <c r="ZJ14" s="1">
        <v>0</v>
      </c>
      <c r="ZK14" s="1">
        <v>0</v>
      </c>
      <c r="ZL14" s="1">
        <v>0</v>
      </c>
      <c r="ZM14" s="1">
        <v>0</v>
      </c>
      <c r="ZN14" s="1">
        <v>0</v>
      </c>
      <c r="ZO14" s="1">
        <v>0</v>
      </c>
      <c r="ZP14" s="1">
        <v>0</v>
      </c>
      <c r="ZQ14" s="1">
        <v>0</v>
      </c>
      <c r="ZR14" s="1">
        <v>0</v>
      </c>
      <c r="ZS14" s="1">
        <v>0</v>
      </c>
      <c r="ZT14" s="1">
        <v>0</v>
      </c>
      <c r="ZU14" s="1">
        <v>0</v>
      </c>
      <c r="ZV14" s="1">
        <v>0</v>
      </c>
      <c r="ZW14" s="1">
        <v>0</v>
      </c>
      <c r="ZX14" s="1">
        <v>0</v>
      </c>
      <c r="ZY14" s="1">
        <v>0</v>
      </c>
      <c r="ZZ14" s="1">
        <v>0</v>
      </c>
      <c r="AAA14" s="1">
        <v>0</v>
      </c>
      <c r="AAB14" s="1">
        <v>4</v>
      </c>
      <c r="AAC14" s="1">
        <v>4</v>
      </c>
      <c r="AAD14" s="1">
        <v>0</v>
      </c>
      <c r="AAE14" s="1">
        <v>0</v>
      </c>
      <c r="AAF14" s="1">
        <v>0</v>
      </c>
      <c r="AAG14" s="1">
        <v>0</v>
      </c>
      <c r="AAH14" s="1">
        <v>0</v>
      </c>
      <c r="AAI14" s="1">
        <v>0</v>
      </c>
      <c r="AAJ14" s="1">
        <v>0</v>
      </c>
      <c r="AAK14" s="1">
        <v>0</v>
      </c>
      <c r="AAL14" s="1">
        <v>0</v>
      </c>
      <c r="AAM14" s="1">
        <v>0</v>
      </c>
      <c r="AAN14" s="1">
        <v>0</v>
      </c>
      <c r="AAO14" s="1">
        <v>0</v>
      </c>
      <c r="AAP14" s="1">
        <v>0</v>
      </c>
      <c r="AAQ14" s="1">
        <v>0</v>
      </c>
      <c r="AAR14" s="1">
        <v>0</v>
      </c>
      <c r="AAS14" s="1">
        <v>0</v>
      </c>
      <c r="AAT14" s="1">
        <v>0</v>
      </c>
      <c r="AAU14" s="1">
        <v>0</v>
      </c>
      <c r="AAV14" s="1">
        <v>0</v>
      </c>
      <c r="AAW14" s="1">
        <v>0</v>
      </c>
      <c r="AAX14" s="1">
        <v>0</v>
      </c>
      <c r="AAY14" s="1">
        <v>0</v>
      </c>
      <c r="AAZ14" s="1">
        <v>0</v>
      </c>
      <c r="ABA14" s="1">
        <v>0</v>
      </c>
      <c r="ABB14" s="1">
        <v>1</v>
      </c>
      <c r="ABC14" s="1">
        <v>0</v>
      </c>
      <c r="ABD14" s="1">
        <v>0</v>
      </c>
      <c r="ABE14" s="1">
        <v>0</v>
      </c>
      <c r="ABF14" s="1">
        <v>0</v>
      </c>
      <c r="ABG14" s="1">
        <v>0</v>
      </c>
      <c r="ABH14" s="1">
        <v>0</v>
      </c>
      <c r="ABI14" s="1">
        <v>0</v>
      </c>
      <c r="ABJ14" s="1">
        <v>0</v>
      </c>
      <c r="ABK14" s="1">
        <v>0</v>
      </c>
      <c r="ABL14" s="1">
        <v>0</v>
      </c>
      <c r="ABM14" s="1">
        <v>0</v>
      </c>
      <c r="ABN14" s="1">
        <v>0</v>
      </c>
      <c r="ABO14" s="1">
        <v>0</v>
      </c>
      <c r="ABP14" s="1">
        <v>0</v>
      </c>
      <c r="ABQ14" s="1">
        <v>0</v>
      </c>
      <c r="ABR14" s="1">
        <v>0</v>
      </c>
      <c r="ABS14" s="1">
        <v>0</v>
      </c>
      <c r="ABT14" s="1">
        <v>0</v>
      </c>
      <c r="ABU14" s="1">
        <v>0</v>
      </c>
      <c r="ABV14" s="1">
        <v>2</v>
      </c>
      <c r="ABW14" s="1">
        <v>2</v>
      </c>
      <c r="ABX14" s="1">
        <v>0</v>
      </c>
      <c r="ABY14" s="1">
        <v>0</v>
      </c>
      <c r="ABZ14" s="1">
        <v>0</v>
      </c>
      <c r="ACA14" s="1">
        <v>0</v>
      </c>
      <c r="ACB14" s="1">
        <v>0</v>
      </c>
      <c r="ACC14" s="1">
        <v>0</v>
      </c>
    </row>
    <row r="15" spans="1:757">
      <c r="A15" s="1" t="s">
        <v>763</v>
      </c>
      <c r="B15" s="1" t="s">
        <v>789</v>
      </c>
      <c r="C15" s="1" t="s">
        <v>788</v>
      </c>
      <c r="D15" s="1">
        <v>114.432</v>
      </c>
      <c r="E15" s="1">
        <v>22.368670000000002</v>
      </c>
      <c r="F15" s="1" t="s">
        <v>3034</v>
      </c>
      <c r="G15" s="77">
        <f t="shared" si="0"/>
        <v>92927</v>
      </c>
      <c r="H15" s="1">
        <v>1</v>
      </c>
      <c r="I15" s="1">
        <v>0</v>
      </c>
      <c r="J15" s="1">
        <v>0</v>
      </c>
      <c r="K15" s="1">
        <v>0</v>
      </c>
      <c r="L15" s="1">
        <v>2871</v>
      </c>
      <c r="M15" s="1">
        <v>23</v>
      </c>
      <c r="N15" s="1">
        <v>46</v>
      </c>
      <c r="O15" s="1">
        <v>0</v>
      </c>
      <c r="P15" s="1">
        <v>17</v>
      </c>
      <c r="Q15" s="1">
        <v>0</v>
      </c>
      <c r="R15" s="1">
        <v>1</v>
      </c>
      <c r="S15" s="1">
        <v>7747</v>
      </c>
      <c r="T15" s="1">
        <v>1178</v>
      </c>
      <c r="U15" s="1">
        <v>2187</v>
      </c>
      <c r="V15" s="1">
        <v>0</v>
      </c>
      <c r="W15" s="1">
        <v>6329</v>
      </c>
      <c r="X15" s="1">
        <v>205</v>
      </c>
      <c r="Y15" s="1">
        <v>0</v>
      </c>
      <c r="Z15" s="1">
        <v>5101</v>
      </c>
      <c r="AA15" s="1">
        <v>309</v>
      </c>
      <c r="AB15" s="1">
        <v>0</v>
      </c>
      <c r="AC15" s="1">
        <v>0</v>
      </c>
      <c r="AD15" s="1">
        <v>98</v>
      </c>
      <c r="AE15" s="1">
        <v>3882</v>
      </c>
      <c r="AF15" s="1">
        <v>477</v>
      </c>
      <c r="AG15" s="1">
        <v>0</v>
      </c>
      <c r="AH15" s="1">
        <v>0</v>
      </c>
      <c r="AI15" s="1">
        <v>3524</v>
      </c>
      <c r="AJ15" s="1">
        <v>3417</v>
      </c>
      <c r="AK15" s="1">
        <v>1574</v>
      </c>
      <c r="AL15" s="1">
        <v>3055</v>
      </c>
      <c r="AM15" s="1">
        <v>0</v>
      </c>
      <c r="AN15" s="1">
        <v>0</v>
      </c>
      <c r="AO15" s="1">
        <v>2371</v>
      </c>
      <c r="AP15" s="1">
        <v>202</v>
      </c>
      <c r="AQ15" s="1">
        <v>44</v>
      </c>
      <c r="AR15" s="1">
        <v>0</v>
      </c>
      <c r="AS15" s="1">
        <v>2311</v>
      </c>
      <c r="AT15" s="1">
        <v>1260</v>
      </c>
      <c r="AU15" s="1">
        <v>2201</v>
      </c>
      <c r="AV15" s="1">
        <v>0</v>
      </c>
      <c r="AW15" s="1">
        <v>2027</v>
      </c>
      <c r="AX15" s="1">
        <v>0</v>
      </c>
      <c r="AY15" s="1">
        <v>1719</v>
      </c>
      <c r="AZ15" s="1">
        <v>92</v>
      </c>
      <c r="BA15" s="1">
        <v>294</v>
      </c>
      <c r="BB15" s="1">
        <v>1565</v>
      </c>
      <c r="BC15" s="1">
        <v>0</v>
      </c>
      <c r="BD15" s="1">
        <v>1486</v>
      </c>
      <c r="BE15" s="1">
        <v>1441</v>
      </c>
      <c r="BF15" s="1">
        <v>1446</v>
      </c>
      <c r="BG15" s="1">
        <v>142</v>
      </c>
      <c r="BH15" s="1">
        <v>0</v>
      </c>
      <c r="BI15" s="1">
        <v>0</v>
      </c>
      <c r="BJ15" s="1">
        <v>181</v>
      </c>
      <c r="BK15" s="1">
        <v>2</v>
      </c>
      <c r="BL15" s="1">
        <v>1125</v>
      </c>
      <c r="BM15" s="1">
        <v>45</v>
      </c>
      <c r="BN15" s="1">
        <v>1</v>
      </c>
      <c r="BO15" s="1">
        <v>0</v>
      </c>
      <c r="BP15" s="1">
        <v>0</v>
      </c>
      <c r="BQ15" s="1">
        <v>0</v>
      </c>
      <c r="BR15" s="1">
        <v>0</v>
      </c>
      <c r="BS15" s="1">
        <v>165</v>
      </c>
      <c r="BT15" s="1">
        <v>770</v>
      </c>
      <c r="BU15" s="1">
        <v>0</v>
      </c>
      <c r="BV15" s="1">
        <v>872</v>
      </c>
      <c r="BW15" s="1">
        <v>746</v>
      </c>
      <c r="BX15" s="1">
        <v>0</v>
      </c>
      <c r="BY15" s="1">
        <v>355</v>
      </c>
      <c r="BZ15" s="1">
        <v>0</v>
      </c>
      <c r="CA15" s="1">
        <v>471</v>
      </c>
      <c r="CB15" s="1">
        <v>796</v>
      </c>
      <c r="CC15" s="1">
        <v>0</v>
      </c>
      <c r="CD15" s="1">
        <v>773</v>
      </c>
      <c r="CE15" s="1">
        <v>0</v>
      </c>
      <c r="CF15" s="1">
        <v>94</v>
      </c>
      <c r="CG15" s="1">
        <v>0</v>
      </c>
      <c r="CH15" s="1">
        <v>659</v>
      </c>
      <c r="CI15" s="1">
        <v>0</v>
      </c>
      <c r="CJ15" s="1">
        <v>79</v>
      </c>
      <c r="CK15" s="1">
        <v>0</v>
      </c>
      <c r="CL15" s="1">
        <v>686</v>
      </c>
      <c r="CM15" s="1">
        <v>0</v>
      </c>
      <c r="CN15" s="1">
        <v>671</v>
      </c>
      <c r="CO15" s="1">
        <v>3</v>
      </c>
      <c r="CP15" s="1">
        <v>522</v>
      </c>
      <c r="CQ15" s="1">
        <v>587</v>
      </c>
      <c r="CR15" s="1">
        <v>0</v>
      </c>
      <c r="CS15" s="1">
        <v>0</v>
      </c>
      <c r="CT15" s="1">
        <v>577</v>
      </c>
      <c r="CU15" s="1">
        <v>573</v>
      </c>
      <c r="CV15" s="1">
        <v>0</v>
      </c>
      <c r="CW15" s="1">
        <v>385</v>
      </c>
      <c r="CX15" s="1">
        <v>553</v>
      </c>
      <c r="CY15" s="1">
        <v>0</v>
      </c>
      <c r="CZ15" s="1">
        <v>84</v>
      </c>
      <c r="DA15" s="1">
        <v>0</v>
      </c>
      <c r="DB15" s="1">
        <v>0</v>
      </c>
      <c r="DC15" s="1">
        <v>20</v>
      </c>
      <c r="DD15" s="1">
        <v>1</v>
      </c>
      <c r="DE15" s="1">
        <v>0</v>
      </c>
      <c r="DF15" s="1">
        <v>524</v>
      </c>
      <c r="DG15" s="1">
        <v>8</v>
      </c>
      <c r="DH15" s="1">
        <v>503</v>
      </c>
      <c r="DI15" s="1">
        <v>339</v>
      </c>
      <c r="DJ15" s="1">
        <v>0</v>
      </c>
      <c r="DK15" s="1">
        <v>222</v>
      </c>
      <c r="DL15" s="1">
        <v>1</v>
      </c>
      <c r="DM15" s="1">
        <v>476</v>
      </c>
      <c r="DN15" s="1">
        <v>476</v>
      </c>
      <c r="DO15" s="1">
        <v>0</v>
      </c>
      <c r="DP15" s="1">
        <v>445</v>
      </c>
      <c r="DQ15" s="1">
        <v>0</v>
      </c>
      <c r="DR15" s="1">
        <v>5</v>
      </c>
      <c r="DS15" s="1">
        <v>234</v>
      </c>
      <c r="DT15" s="1">
        <v>421</v>
      </c>
      <c r="DU15" s="1">
        <v>0</v>
      </c>
      <c r="DV15" s="1">
        <v>416</v>
      </c>
      <c r="DW15" s="1">
        <v>215</v>
      </c>
      <c r="DX15" s="1">
        <v>0</v>
      </c>
      <c r="DY15" s="1">
        <v>369</v>
      </c>
      <c r="DZ15" s="1">
        <v>5</v>
      </c>
      <c r="EA15" s="1">
        <v>384</v>
      </c>
      <c r="EB15" s="1">
        <v>7</v>
      </c>
      <c r="EC15" s="1">
        <v>379</v>
      </c>
      <c r="ED15" s="1">
        <v>50</v>
      </c>
      <c r="EE15" s="1">
        <v>15</v>
      </c>
      <c r="EF15" s="1">
        <v>0</v>
      </c>
      <c r="EG15" s="1">
        <v>64</v>
      </c>
      <c r="EH15" s="1">
        <v>7</v>
      </c>
      <c r="EI15" s="1">
        <v>308</v>
      </c>
      <c r="EJ15" s="1">
        <v>134</v>
      </c>
      <c r="EK15" s="1">
        <v>6</v>
      </c>
      <c r="EL15" s="1">
        <v>132</v>
      </c>
      <c r="EM15" s="1">
        <v>308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30</v>
      </c>
      <c r="EW15" s="1">
        <v>273</v>
      </c>
      <c r="EX15" s="1">
        <v>0</v>
      </c>
      <c r="EY15" s="1">
        <v>3</v>
      </c>
      <c r="EZ15" s="1">
        <v>140</v>
      </c>
      <c r="FA15" s="1">
        <v>0</v>
      </c>
      <c r="FB15" s="1">
        <v>249</v>
      </c>
      <c r="FC15" s="1">
        <v>0</v>
      </c>
      <c r="FD15" s="1">
        <v>10</v>
      </c>
      <c r="FE15" s="1">
        <v>249</v>
      </c>
      <c r="FF15" s="1">
        <v>83</v>
      </c>
      <c r="FG15" s="1">
        <v>0</v>
      </c>
      <c r="FH15" s="1">
        <v>122</v>
      </c>
      <c r="FI15" s="1">
        <v>0</v>
      </c>
      <c r="FJ15" s="1">
        <v>1</v>
      </c>
      <c r="FK15" s="1">
        <v>0</v>
      </c>
      <c r="FL15" s="1">
        <v>228</v>
      </c>
      <c r="FM15" s="1">
        <v>0</v>
      </c>
      <c r="FN15" s="1">
        <v>0</v>
      </c>
      <c r="FO15" s="1">
        <v>195</v>
      </c>
      <c r="FP15" s="1">
        <v>222</v>
      </c>
      <c r="FQ15" s="1">
        <v>0</v>
      </c>
      <c r="FR15" s="1">
        <v>0</v>
      </c>
      <c r="FS15" s="1">
        <v>0</v>
      </c>
      <c r="FT15" s="1">
        <v>20</v>
      </c>
      <c r="FU15" s="1">
        <v>204</v>
      </c>
      <c r="FV15" s="1">
        <v>155</v>
      </c>
      <c r="FW15" s="1">
        <v>207</v>
      </c>
      <c r="FX15" s="1">
        <v>196</v>
      </c>
      <c r="FY15" s="1">
        <v>9</v>
      </c>
      <c r="FZ15" s="1">
        <v>83</v>
      </c>
      <c r="GA15" s="1">
        <v>193</v>
      </c>
      <c r="GB15" s="1">
        <v>185</v>
      </c>
      <c r="GC15" s="1">
        <v>194</v>
      </c>
      <c r="GD15" s="1">
        <v>196</v>
      </c>
      <c r="GE15" s="1">
        <v>163</v>
      </c>
      <c r="GF15" s="1">
        <v>12</v>
      </c>
      <c r="GG15" s="1">
        <v>188</v>
      </c>
      <c r="GH15" s="1">
        <v>0</v>
      </c>
      <c r="GI15" s="1">
        <v>1</v>
      </c>
      <c r="GJ15" s="1">
        <v>182</v>
      </c>
      <c r="GK15" s="1">
        <v>0</v>
      </c>
      <c r="GL15" s="1">
        <v>8</v>
      </c>
      <c r="GM15" s="1">
        <v>0</v>
      </c>
      <c r="GN15" s="1">
        <v>0</v>
      </c>
      <c r="GO15" s="1">
        <v>0</v>
      </c>
      <c r="GP15" s="1">
        <v>168</v>
      </c>
      <c r="GQ15" s="1">
        <v>165</v>
      </c>
      <c r="GR15" s="1">
        <v>0</v>
      </c>
      <c r="GS15" s="1">
        <v>0</v>
      </c>
      <c r="GT15" s="1">
        <v>136</v>
      </c>
      <c r="GU15" s="1">
        <v>160</v>
      </c>
      <c r="GV15" s="1">
        <v>109</v>
      </c>
      <c r="GW15" s="1">
        <v>156</v>
      </c>
      <c r="GX15" s="1">
        <v>0</v>
      </c>
      <c r="GY15" s="1">
        <v>105</v>
      </c>
      <c r="GZ15" s="1">
        <v>0</v>
      </c>
      <c r="HA15" s="1">
        <v>153</v>
      </c>
      <c r="HB15" s="1">
        <v>0</v>
      </c>
      <c r="HC15" s="1">
        <v>0</v>
      </c>
      <c r="HD15" s="1">
        <v>15</v>
      </c>
      <c r="HE15" s="1">
        <v>139</v>
      </c>
      <c r="HF15" s="1">
        <v>3</v>
      </c>
      <c r="HG15" s="1">
        <v>148</v>
      </c>
      <c r="HH15" s="1">
        <v>59</v>
      </c>
      <c r="HI15" s="1">
        <v>130</v>
      </c>
      <c r="HJ15" s="1">
        <v>23</v>
      </c>
      <c r="HK15" s="1">
        <v>141</v>
      </c>
      <c r="HL15" s="1">
        <v>101</v>
      </c>
      <c r="HM15" s="1">
        <v>0</v>
      </c>
      <c r="HN15" s="1">
        <v>0</v>
      </c>
      <c r="HO15" s="1">
        <v>138</v>
      </c>
      <c r="HP15" s="1">
        <v>136</v>
      </c>
      <c r="HQ15" s="1">
        <v>136</v>
      </c>
      <c r="HR15" s="1">
        <v>131</v>
      </c>
      <c r="HS15" s="1">
        <v>132</v>
      </c>
      <c r="HT15" s="1">
        <v>131</v>
      </c>
      <c r="HU15" s="1">
        <v>25</v>
      </c>
      <c r="HV15" s="1">
        <v>0</v>
      </c>
      <c r="HW15" s="1">
        <v>30</v>
      </c>
      <c r="HX15" s="1">
        <v>0</v>
      </c>
      <c r="HY15" s="1">
        <v>0</v>
      </c>
      <c r="HZ15" s="1">
        <v>120</v>
      </c>
      <c r="IA15" s="1">
        <v>113</v>
      </c>
      <c r="IB15" s="1">
        <v>110</v>
      </c>
      <c r="IC15" s="1">
        <v>0</v>
      </c>
      <c r="ID15" s="1">
        <v>0</v>
      </c>
      <c r="IE15" s="1">
        <v>115</v>
      </c>
      <c r="IF15" s="1">
        <v>47</v>
      </c>
      <c r="IG15" s="1">
        <v>112</v>
      </c>
      <c r="IH15" s="1">
        <v>0</v>
      </c>
      <c r="II15" s="1">
        <v>109</v>
      </c>
      <c r="IJ15" s="1">
        <v>58</v>
      </c>
      <c r="IK15" s="1">
        <v>109</v>
      </c>
      <c r="IL15" s="1">
        <v>2</v>
      </c>
      <c r="IM15" s="1">
        <v>28</v>
      </c>
      <c r="IN15" s="1">
        <v>107</v>
      </c>
      <c r="IO15" s="1">
        <v>105</v>
      </c>
      <c r="IP15" s="1">
        <v>41</v>
      </c>
      <c r="IQ15" s="1">
        <v>95</v>
      </c>
      <c r="IR15" s="1">
        <v>11</v>
      </c>
      <c r="IS15" s="1">
        <v>0</v>
      </c>
      <c r="IT15" s="1">
        <v>1</v>
      </c>
      <c r="IU15" s="1">
        <v>100</v>
      </c>
      <c r="IV15" s="1">
        <v>18</v>
      </c>
      <c r="IW15" s="1">
        <v>95</v>
      </c>
      <c r="IX15" s="1">
        <v>17</v>
      </c>
      <c r="IY15" s="1">
        <v>87</v>
      </c>
      <c r="IZ15" s="1">
        <v>94</v>
      </c>
      <c r="JA15" s="1">
        <v>0</v>
      </c>
      <c r="JB15" s="1">
        <v>92</v>
      </c>
      <c r="JC15" s="1">
        <v>86</v>
      </c>
      <c r="JD15" s="1">
        <v>1</v>
      </c>
      <c r="JE15" s="1">
        <v>83</v>
      </c>
      <c r="JF15" s="1">
        <v>74</v>
      </c>
      <c r="JG15" s="1">
        <v>0</v>
      </c>
      <c r="JH15" s="1">
        <v>85</v>
      </c>
      <c r="JI15" s="1">
        <v>0</v>
      </c>
      <c r="JJ15" s="1">
        <v>84</v>
      </c>
      <c r="JK15" s="1">
        <v>0</v>
      </c>
      <c r="JL15" s="1">
        <v>64</v>
      </c>
      <c r="JM15" s="1">
        <v>0</v>
      </c>
      <c r="JN15" s="1">
        <v>78</v>
      </c>
      <c r="JO15" s="1">
        <v>36</v>
      </c>
      <c r="JP15" s="1">
        <v>0</v>
      </c>
      <c r="JQ15" s="1">
        <v>0</v>
      </c>
      <c r="JR15" s="1">
        <v>79</v>
      </c>
      <c r="JS15" s="1">
        <v>1</v>
      </c>
      <c r="JT15" s="1">
        <v>74</v>
      </c>
      <c r="JU15" s="1">
        <v>74</v>
      </c>
      <c r="JV15" s="1">
        <v>78</v>
      </c>
      <c r="JW15" s="1">
        <v>6</v>
      </c>
      <c r="JX15" s="1">
        <v>15</v>
      </c>
      <c r="JY15" s="1">
        <v>74</v>
      </c>
      <c r="JZ15" s="1">
        <v>0</v>
      </c>
      <c r="KA15" s="1">
        <v>0</v>
      </c>
      <c r="KB15" s="1">
        <v>0</v>
      </c>
      <c r="KC15" s="1">
        <v>74</v>
      </c>
      <c r="KD15" s="1">
        <v>74</v>
      </c>
      <c r="KE15" s="1">
        <v>0</v>
      </c>
      <c r="KF15" s="1">
        <v>0</v>
      </c>
      <c r="KG15" s="1">
        <v>0</v>
      </c>
      <c r="KH15" s="1">
        <v>73</v>
      </c>
      <c r="KI15" s="1">
        <v>0</v>
      </c>
      <c r="KJ15" s="1">
        <v>0</v>
      </c>
      <c r="KK15" s="1">
        <v>0</v>
      </c>
      <c r="KL15" s="1">
        <v>72</v>
      </c>
      <c r="KM15" s="1">
        <v>0</v>
      </c>
      <c r="KN15" s="1">
        <v>26</v>
      </c>
      <c r="KO15" s="1">
        <v>71</v>
      </c>
      <c r="KP15" s="1">
        <v>71</v>
      </c>
      <c r="KQ15" s="1">
        <v>1</v>
      </c>
      <c r="KR15" s="1">
        <v>37</v>
      </c>
      <c r="KS15" s="1">
        <v>0</v>
      </c>
      <c r="KT15" s="1">
        <v>70</v>
      </c>
      <c r="KU15" s="1">
        <v>70</v>
      </c>
      <c r="KV15" s="1">
        <v>1</v>
      </c>
      <c r="KW15" s="1">
        <v>69</v>
      </c>
      <c r="KX15" s="1">
        <v>1</v>
      </c>
      <c r="KY15" s="1">
        <v>0</v>
      </c>
      <c r="KZ15" s="1">
        <v>0</v>
      </c>
      <c r="LA15" s="1">
        <v>20</v>
      </c>
      <c r="LB15" s="1">
        <v>67</v>
      </c>
      <c r="LC15" s="1">
        <v>0</v>
      </c>
      <c r="LD15" s="1">
        <v>64</v>
      </c>
      <c r="LE15" s="1">
        <v>26</v>
      </c>
      <c r="LF15" s="1">
        <v>9</v>
      </c>
      <c r="LG15" s="1">
        <v>0</v>
      </c>
      <c r="LH15" s="1">
        <v>65</v>
      </c>
      <c r="LI15" s="1">
        <v>65</v>
      </c>
      <c r="LJ15" s="1">
        <v>7</v>
      </c>
      <c r="LK15" s="1">
        <v>22</v>
      </c>
      <c r="LL15" s="1">
        <v>61</v>
      </c>
      <c r="LM15" s="1">
        <v>0</v>
      </c>
      <c r="LN15" s="1">
        <v>0</v>
      </c>
      <c r="LO15" s="1">
        <v>0</v>
      </c>
      <c r="LP15" s="1">
        <v>0</v>
      </c>
      <c r="LQ15" s="1">
        <v>60</v>
      </c>
      <c r="LR15" s="1">
        <v>0</v>
      </c>
      <c r="LS15" s="1">
        <v>57</v>
      </c>
      <c r="LT15" s="1">
        <v>58</v>
      </c>
      <c r="LU15" s="1">
        <v>0</v>
      </c>
      <c r="LV15" s="1">
        <v>0</v>
      </c>
      <c r="LW15" s="1">
        <v>58</v>
      </c>
      <c r="LX15" s="1">
        <v>58</v>
      </c>
      <c r="LY15" s="1">
        <v>58</v>
      </c>
      <c r="LZ15" s="1">
        <v>0</v>
      </c>
      <c r="MA15" s="1">
        <v>0</v>
      </c>
      <c r="MB15" s="1">
        <v>56</v>
      </c>
      <c r="MC15" s="1">
        <v>54</v>
      </c>
      <c r="MD15" s="1">
        <v>0</v>
      </c>
      <c r="ME15" s="1">
        <v>0</v>
      </c>
      <c r="MF15" s="1">
        <v>0</v>
      </c>
      <c r="MG15" s="1">
        <v>53</v>
      </c>
      <c r="MH15" s="1">
        <v>0</v>
      </c>
      <c r="MI15" s="1">
        <v>0</v>
      </c>
      <c r="MJ15" s="1">
        <v>28</v>
      </c>
      <c r="MK15" s="1">
        <v>0</v>
      </c>
      <c r="ML15" s="1">
        <v>0</v>
      </c>
      <c r="MM15" s="1">
        <v>0</v>
      </c>
      <c r="MN15" s="1">
        <v>11</v>
      </c>
      <c r="MO15" s="1">
        <v>1</v>
      </c>
      <c r="MP15" s="1">
        <v>34</v>
      </c>
      <c r="MQ15" s="1">
        <v>48</v>
      </c>
      <c r="MR15" s="1">
        <v>44</v>
      </c>
      <c r="MS15" s="1">
        <v>45</v>
      </c>
      <c r="MT15" s="1">
        <v>0</v>
      </c>
      <c r="MU15" s="1">
        <v>0</v>
      </c>
      <c r="MV15" s="1">
        <v>0</v>
      </c>
      <c r="MW15" s="1">
        <v>0</v>
      </c>
      <c r="MX15" s="1">
        <v>11</v>
      </c>
      <c r="MY15" s="1">
        <v>0</v>
      </c>
      <c r="MZ15" s="1">
        <v>0</v>
      </c>
      <c r="NA15" s="1">
        <v>0</v>
      </c>
      <c r="NB15" s="1">
        <v>0</v>
      </c>
      <c r="NC15" s="1">
        <v>45</v>
      </c>
      <c r="ND15" s="1">
        <v>43</v>
      </c>
      <c r="NE15" s="1">
        <v>0</v>
      </c>
      <c r="NF15" s="1">
        <v>0</v>
      </c>
      <c r="NG15" s="1">
        <v>42</v>
      </c>
      <c r="NH15" s="1">
        <v>44</v>
      </c>
      <c r="NI15" s="1">
        <v>44</v>
      </c>
      <c r="NJ15" s="1">
        <v>44</v>
      </c>
      <c r="NK15" s="1">
        <v>44</v>
      </c>
      <c r="NL15" s="1">
        <v>0</v>
      </c>
      <c r="NM15" s="1">
        <v>43</v>
      </c>
      <c r="NN15" s="1">
        <v>43</v>
      </c>
      <c r="NO15" s="1">
        <v>0</v>
      </c>
      <c r="NP15" s="1">
        <v>42</v>
      </c>
      <c r="NQ15" s="1">
        <v>1</v>
      </c>
      <c r="NR15" s="1">
        <v>38</v>
      </c>
      <c r="NS15" s="1">
        <v>41</v>
      </c>
      <c r="NT15" s="1">
        <v>0</v>
      </c>
      <c r="NU15" s="1">
        <v>35</v>
      </c>
      <c r="NV15" s="1">
        <v>0</v>
      </c>
      <c r="NW15" s="1">
        <v>34</v>
      </c>
      <c r="NX15" s="1">
        <v>38</v>
      </c>
      <c r="NY15" s="1">
        <v>40</v>
      </c>
      <c r="NZ15" s="1">
        <v>0</v>
      </c>
      <c r="OA15" s="1">
        <v>0</v>
      </c>
      <c r="OB15" s="1">
        <v>0</v>
      </c>
      <c r="OC15" s="1">
        <v>0</v>
      </c>
      <c r="OD15" s="1">
        <v>0</v>
      </c>
      <c r="OE15" s="1">
        <v>35</v>
      </c>
      <c r="OF15" s="1">
        <v>27</v>
      </c>
      <c r="OG15" s="1">
        <v>0</v>
      </c>
      <c r="OH15" s="1">
        <v>38</v>
      </c>
      <c r="OI15" s="1">
        <v>3</v>
      </c>
      <c r="OJ15" s="1">
        <v>7</v>
      </c>
      <c r="OK15" s="1">
        <v>0</v>
      </c>
      <c r="OL15" s="1">
        <v>36</v>
      </c>
      <c r="OM15" s="1">
        <v>4</v>
      </c>
      <c r="ON15" s="1">
        <v>0</v>
      </c>
      <c r="OO15" s="1">
        <v>33</v>
      </c>
      <c r="OP15" s="1">
        <v>0</v>
      </c>
      <c r="OQ15" s="1">
        <v>35</v>
      </c>
      <c r="OR15" s="1">
        <v>35</v>
      </c>
      <c r="OS15" s="1">
        <v>35</v>
      </c>
      <c r="OT15" s="1">
        <v>0</v>
      </c>
      <c r="OU15" s="1">
        <v>0</v>
      </c>
      <c r="OV15" s="1">
        <v>27</v>
      </c>
      <c r="OW15" s="1">
        <v>32</v>
      </c>
      <c r="OX15" s="1">
        <v>1</v>
      </c>
      <c r="OY15" s="1">
        <v>0</v>
      </c>
      <c r="OZ15" s="1">
        <v>0</v>
      </c>
      <c r="PA15" s="1">
        <v>0</v>
      </c>
      <c r="PB15" s="1">
        <v>28</v>
      </c>
      <c r="PC15" s="1">
        <v>0</v>
      </c>
      <c r="PD15" s="1">
        <v>0</v>
      </c>
      <c r="PE15" s="1">
        <v>32</v>
      </c>
      <c r="PF15" s="1">
        <v>32</v>
      </c>
      <c r="PG15" s="1">
        <v>32</v>
      </c>
      <c r="PH15" s="1">
        <v>32</v>
      </c>
      <c r="PI15" s="1">
        <v>0</v>
      </c>
      <c r="PJ15" s="1">
        <v>0</v>
      </c>
      <c r="PK15" s="1">
        <v>0</v>
      </c>
      <c r="PL15" s="1">
        <v>30</v>
      </c>
      <c r="PM15" s="1">
        <v>0</v>
      </c>
      <c r="PN15" s="1">
        <v>6</v>
      </c>
      <c r="PO15" s="1">
        <v>0</v>
      </c>
      <c r="PP15" s="1">
        <v>31</v>
      </c>
      <c r="PQ15" s="1">
        <v>0</v>
      </c>
      <c r="PR15" s="1">
        <v>0</v>
      </c>
      <c r="PS15" s="1">
        <v>0</v>
      </c>
      <c r="PT15" s="1">
        <v>0</v>
      </c>
      <c r="PU15" s="1">
        <v>20</v>
      </c>
      <c r="PV15" s="1">
        <v>0</v>
      </c>
      <c r="PW15" s="1">
        <v>29</v>
      </c>
      <c r="PX15" s="1">
        <v>29</v>
      </c>
      <c r="PY15" s="1">
        <v>0</v>
      </c>
      <c r="PZ15" s="1">
        <v>2</v>
      </c>
      <c r="QA15" s="1">
        <v>0</v>
      </c>
      <c r="QB15" s="1">
        <v>0</v>
      </c>
      <c r="QC15" s="1">
        <v>0</v>
      </c>
      <c r="QD15" s="1">
        <v>0</v>
      </c>
      <c r="QE15" s="1">
        <v>0</v>
      </c>
      <c r="QF15" s="1">
        <v>0</v>
      </c>
      <c r="QG15" s="1">
        <v>0</v>
      </c>
      <c r="QH15" s="1">
        <v>24</v>
      </c>
      <c r="QI15" s="1">
        <v>28</v>
      </c>
      <c r="QJ15" s="1">
        <v>28</v>
      </c>
      <c r="QK15" s="1">
        <v>0</v>
      </c>
      <c r="QL15" s="1">
        <v>0</v>
      </c>
      <c r="QM15" s="1">
        <v>0</v>
      </c>
      <c r="QN15" s="1">
        <v>0</v>
      </c>
      <c r="QO15" s="1">
        <v>0</v>
      </c>
      <c r="QP15" s="1">
        <v>27</v>
      </c>
      <c r="QQ15" s="1">
        <v>27</v>
      </c>
      <c r="QR15" s="1">
        <v>0</v>
      </c>
      <c r="QS15" s="1">
        <v>25</v>
      </c>
      <c r="QT15" s="1">
        <v>24</v>
      </c>
      <c r="QU15" s="1">
        <v>26</v>
      </c>
      <c r="QV15" s="1">
        <v>26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24</v>
      </c>
      <c r="RC15" s="1">
        <v>0</v>
      </c>
      <c r="RD15" s="1">
        <v>0</v>
      </c>
      <c r="RE15" s="1">
        <v>11</v>
      </c>
      <c r="RF15" s="1">
        <v>0</v>
      </c>
      <c r="RG15" s="1">
        <v>0</v>
      </c>
      <c r="RH15" s="1">
        <v>0</v>
      </c>
      <c r="RI15" s="1">
        <v>21</v>
      </c>
      <c r="RJ15" s="1">
        <v>23</v>
      </c>
      <c r="RK15" s="1">
        <v>23</v>
      </c>
      <c r="RL15" s="1">
        <v>0</v>
      </c>
      <c r="RM15" s="1">
        <v>20</v>
      </c>
      <c r="RN15" s="1">
        <v>0</v>
      </c>
      <c r="RO15" s="1">
        <v>0</v>
      </c>
      <c r="RP15" s="1">
        <v>21</v>
      </c>
      <c r="RQ15" s="1">
        <v>0</v>
      </c>
      <c r="RR15" s="1">
        <v>0</v>
      </c>
      <c r="RS15" s="1">
        <v>22</v>
      </c>
      <c r="RT15" s="1">
        <v>22</v>
      </c>
      <c r="RU15" s="1">
        <v>0</v>
      </c>
      <c r="RV15" s="1">
        <v>1</v>
      </c>
      <c r="RW15" s="1">
        <v>7</v>
      </c>
      <c r="RX15" s="1">
        <v>21</v>
      </c>
      <c r="RY15" s="1">
        <v>21</v>
      </c>
      <c r="RZ15" s="1">
        <v>21</v>
      </c>
      <c r="SA15" s="1">
        <v>21</v>
      </c>
      <c r="SB15" s="1">
        <v>0</v>
      </c>
      <c r="SC15" s="1">
        <v>0</v>
      </c>
      <c r="SD15" s="1">
        <v>0</v>
      </c>
      <c r="SE15" s="1">
        <v>0</v>
      </c>
      <c r="SF15" s="1">
        <v>19</v>
      </c>
      <c r="SG15" s="1">
        <v>0</v>
      </c>
      <c r="SH15" s="1">
        <v>20</v>
      </c>
      <c r="SI15" s="1">
        <v>20</v>
      </c>
      <c r="SJ15" s="1">
        <v>20</v>
      </c>
      <c r="SK15" s="1">
        <v>0</v>
      </c>
      <c r="SL15" s="1">
        <v>0</v>
      </c>
      <c r="SM15" s="1">
        <v>9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12</v>
      </c>
      <c r="SV15" s="1">
        <v>0</v>
      </c>
      <c r="SW15" s="1">
        <v>0</v>
      </c>
      <c r="SX15" s="1">
        <v>0</v>
      </c>
      <c r="SY15" s="1">
        <v>0</v>
      </c>
      <c r="SZ15" s="1">
        <v>11</v>
      </c>
      <c r="TA15" s="1">
        <v>0</v>
      </c>
      <c r="TB15" s="1">
        <v>0</v>
      </c>
      <c r="TC15" s="1">
        <v>1</v>
      </c>
      <c r="TD15" s="1">
        <v>17</v>
      </c>
      <c r="TE15" s="1">
        <v>18</v>
      </c>
      <c r="TF15" s="1">
        <v>18</v>
      </c>
      <c r="TG15" s="1">
        <v>16</v>
      </c>
      <c r="TH15" s="1">
        <v>16</v>
      </c>
      <c r="TI15" s="1">
        <v>0</v>
      </c>
      <c r="TJ15" s="1">
        <v>13</v>
      </c>
      <c r="TK15" s="1">
        <v>14</v>
      </c>
      <c r="TL15" s="1">
        <v>0</v>
      </c>
      <c r="TM15" s="1">
        <v>0</v>
      </c>
      <c r="TN15" s="1">
        <v>14</v>
      </c>
      <c r="TO15" s="1">
        <v>17</v>
      </c>
      <c r="TP15" s="1">
        <v>0</v>
      </c>
      <c r="TQ15" s="1">
        <v>9</v>
      </c>
      <c r="TR15" s="1">
        <v>0</v>
      </c>
      <c r="TS15" s="1">
        <v>0</v>
      </c>
      <c r="TT15" s="1">
        <v>0</v>
      </c>
      <c r="TU15" s="1">
        <v>16</v>
      </c>
      <c r="TV15" s="1">
        <v>16</v>
      </c>
      <c r="TW15" s="1">
        <v>16</v>
      </c>
      <c r="TX15" s="1">
        <v>2</v>
      </c>
      <c r="TY15" s="1">
        <v>0</v>
      </c>
      <c r="TZ15" s="1">
        <v>7</v>
      </c>
      <c r="UA15" s="1">
        <v>0</v>
      </c>
      <c r="UB15" s="1">
        <v>0</v>
      </c>
      <c r="UC15" s="1">
        <v>1</v>
      </c>
      <c r="UD15" s="1">
        <v>15</v>
      </c>
      <c r="UE15" s="1">
        <v>9</v>
      </c>
      <c r="UF15" s="1">
        <v>0</v>
      </c>
      <c r="UG15" s="1">
        <v>0</v>
      </c>
      <c r="UH15" s="1">
        <v>0</v>
      </c>
      <c r="UI15" s="1">
        <v>0</v>
      </c>
      <c r="UJ15" s="1">
        <v>0</v>
      </c>
      <c r="UK15" s="1">
        <v>7</v>
      </c>
      <c r="UL15" s="1">
        <v>12</v>
      </c>
      <c r="UM15" s="1">
        <v>4</v>
      </c>
      <c r="UN15" s="1">
        <v>0</v>
      </c>
      <c r="UO15" s="1">
        <v>1</v>
      </c>
      <c r="UP15" s="1">
        <v>0</v>
      </c>
      <c r="UQ15" s="1">
        <v>0</v>
      </c>
      <c r="UR15" s="1">
        <v>0</v>
      </c>
      <c r="US15" s="1">
        <v>13</v>
      </c>
      <c r="UT15" s="1">
        <v>13</v>
      </c>
      <c r="UU15" s="1">
        <v>13</v>
      </c>
      <c r="UV15" s="1">
        <v>13</v>
      </c>
      <c r="UW15" s="1">
        <v>13</v>
      </c>
      <c r="UX15" s="1">
        <v>0</v>
      </c>
      <c r="UY15" s="1">
        <v>0</v>
      </c>
      <c r="UZ15" s="1">
        <v>11</v>
      </c>
      <c r="VA15" s="1">
        <v>7</v>
      </c>
      <c r="VB15" s="1">
        <v>0</v>
      </c>
      <c r="VC15" s="1">
        <v>3</v>
      </c>
      <c r="VD15" s="1">
        <v>12</v>
      </c>
      <c r="VE15" s="1">
        <v>7</v>
      </c>
      <c r="VF15" s="1">
        <v>0</v>
      </c>
      <c r="VG15" s="1">
        <v>0</v>
      </c>
      <c r="VH15" s="1">
        <v>11</v>
      </c>
      <c r="VI15" s="1">
        <v>11</v>
      </c>
      <c r="VJ15" s="1">
        <v>11</v>
      </c>
      <c r="VK15" s="1">
        <v>11</v>
      </c>
      <c r="VL15" s="1">
        <v>11</v>
      </c>
      <c r="VM15" s="1">
        <v>11</v>
      </c>
      <c r="VN15" s="1">
        <v>0</v>
      </c>
      <c r="VO15" s="1">
        <v>0</v>
      </c>
      <c r="VP15" s="1">
        <v>0</v>
      </c>
      <c r="VQ15" s="1">
        <v>9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0</v>
      </c>
      <c r="VY15" s="1">
        <v>0</v>
      </c>
      <c r="VZ15" s="1">
        <v>0</v>
      </c>
      <c r="WA15" s="1">
        <v>10</v>
      </c>
      <c r="WB15" s="1">
        <v>10</v>
      </c>
      <c r="WC15" s="1">
        <v>0</v>
      </c>
      <c r="WD15" s="1">
        <v>6</v>
      </c>
      <c r="WE15" s="1">
        <v>5</v>
      </c>
      <c r="WF15" s="1">
        <v>0</v>
      </c>
      <c r="WG15" s="1">
        <v>0</v>
      </c>
      <c r="WH15" s="1">
        <v>0</v>
      </c>
      <c r="WI15" s="1">
        <v>0</v>
      </c>
      <c r="WJ15" s="1">
        <v>0</v>
      </c>
      <c r="WK15" s="1">
        <v>0</v>
      </c>
      <c r="WL15" s="1">
        <v>0</v>
      </c>
      <c r="WM15" s="1">
        <v>8</v>
      </c>
      <c r="WN15" s="1">
        <v>0</v>
      </c>
      <c r="WO15" s="1">
        <v>0</v>
      </c>
      <c r="WP15" s="1">
        <v>0</v>
      </c>
      <c r="WQ15" s="1">
        <v>0</v>
      </c>
      <c r="WR15" s="1">
        <v>0</v>
      </c>
      <c r="WS15" s="1">
        <v>9</v>
      </c>
      <c r="WT15" s="1">
        <v>9</v>
      </c>
      <c r="WU15" s="1">
        <v>9</v>
      </c>
      <c r="WV15" s="1">
        <v>9</v>
      </c>
      <c r="WW15" s="1">
        <v>9</v>
      </c>
      <c r="WX15" s="1">
        <v>0</v>
      </c>
      <c r="WY15" s="1">
        <v>0</v>
      </c>
      <c r="WZ15" s="1">
        <v>0</v>
      </c>
      <c r="XA15" s="1">
        <v>0</v>
      </c>
      <c r="XB15" s="1">
        <v>0</v>
      </c>
      <c r="XC15" s="1">
        <v>0</v>
      </c>
      <c r="XD15" s="1">
        <v>0</v>
      </c>
      <c r="XE15" s="1">
        <v>0</v>
      </c>
      <c r="XF15" s="1">
        <v>0</v>
      </c>
      <c r="XG15" s="1">
        <v>0</v>
      </c>
      <c r="XH15" s="1">
        <v>0</v>
      </c>
      <c r="XI15" s="1">
        <v>8</v>
      </c>
      <c r="XJ15" s="1">
        <v>8</v>
      </c>
      <c r="XK15" s="1">
        <v>0</v>
      </c>
      <c r="XL15" s="1">
        <v>0</v>
      </c>
      <c r="XM15" s="1">
        <v>0</v>
      </c>
      <c r="XN15" s="1">
        <v>0</v>
      </c>
      <c r="XO15" s="1">
        <v>0</v>
      </c>
      <c r="XP15" s="1">
        <v>0</v>
      </c>
      <c r="XQ15" s="1">
        <v>0</v>
      </c>
      <c r="XR15" s="1">
        <v>5</v>
      </c>
      <c r="XS15" s="1">
        <v>0</v>
      </c>
      <c r="XT15" s="1">
        <v>0</v>
      </c>
      <c r="XU15" s="1">
        <v>0</v>
      </c>
      <c r="XV15" s="1">
        <v>6</v>
      </c>
      <c r="XW15" s="1">
        <v>0</v>
      </c>
      <c r="XX15" s="1">
        <v>7</v>
      </c>
      <c r="XY15" s="1">
        <v>7</v>
      </c>
      <c r="XZ15" s="1">
        <v>7</v>
      </c>
      <c r="YA15" s="1">
        <v>7</v>
      </c>
      <c r="YB15" s="1">
        <v>0</v>
      </c>
      <c r="YC15" s="1">
        <v>0</v>
      </c>
      <c r="YD15" s="1">
        <v>0</v>
      </c>
      <c r="YE15" s="1">
        <v>5</v>
      </c>
      <c r="YF15" s="1">
        <v>0</v>
      </c>
      <c r="YG15" s="1">
        <v>0</v>
      </c>
      <c r="YH15" s="1">
        <v>0</v>
      </c>
      <c r="YI15" s="1">
        <v>0</v>
      </c>
      <c r="YJ15" s="1">
        <v>0</v>
      </c>
      <c r="YK15" s="1">
        <v>0</v>
      </c>
      <c r="YL15" s="1">
        <v>0</v>
      </c>
      <c r="YM15" s="1">
        <v>0</v>
      </c>
      <c r="YN15" s="1">
        <v>0</v>
      </c>
      <c r="YO15" s="1">
        <v>0</v>
      </c>
      <c r="YP15" s="1">
        <v>0</v>
      </c>
      <c r="YQ15" s="1">
        <v>1</v>
      </c>
      <c r="YR15" s="1">
        <v>0</v>
      </c>
      <c r="YS15" s="1">
        <v>6</v>
      </c>
      <c r="YT15" s="1">
        <v>6</v>
      </c>
      <c r="YU15" s="1">
        <v>6</v>
      </c>
      <c r="YV15" s="1">
        <v>6</v>
      </c>
      <c r="YW15" s="1">
        <v>6</v>
      </c>
      <c r="YX15" s="1">
        <v>6</v>
      </c>
      <c r="YY15" s="1">
        <v>6</v>
      </c>
      <c r="YZ15" s="1">
        <v>0</v>
      </c>
      <c r="ZA15" s="1">
        <v>0</v>
      </c>
      <c r="ZB15" s="1">
        <v>0</v>
      </c>
      <c r="ZC15" s="1">
        <v>0</v>
      </c>
      <c r="ZD15" s="1">
        <v>0</v>
      </c>
      <c r="ZE15" s="1">
        <v>0</v>
      </c>
      <c r="ZF15" s="1">
        <v>0</v>
      </c>
      <c r="ZG15" s="1">
        <v>0</v>
      </c>
      <c r="ZH15" s="1">
        <v>0</v>
      </c>
      <c r="ZI15" s="1">
        <v>0</v>
      </c>
      <c r="ZJ15" s="1">
        <v>0</v>
      </c>
      <c r="ZK15" s="1">
        <v>2</v>
      </c>
      <c r="ZL15" s="1">
        <v>2</v>
      </c>
      <c r="ZM15" s="1">
        <v>5</v>
      </c>
      <c r="ZN15" s="1">
        <v>5</v>
      </c>
      <c r="ZO15" s="1">
        <v>5</v>
      </c>
      <c r="ZP15" s="1">
        <v>5</v>
      </c>
      <c r="ZQ15" s="1">
        <v>0</v>
      </c>
      <c r="ZR15" s="1">
        <v>0</v>
      </c>
      <c r="ZS15" s="1">
        <v>3</v>
      </c>
      <c r="ZT15" s="1">
        <v>0</v>
      </c>
      <c r="ZU15" s="1">
        <v>0</v>
      </c>
      <c r="ZV15" s="1">
        <v>0</v>
      </c>
      <c r="ZW15" s="1">
        <v>0</v>
      </c>
      <c r="ZX15" s="1">
        <v>0</v>
      </c>
      <c r="ZY15" s="1">
        <v>0</v>
      </c>
      <c r="ZZ15" s="1">
        <v>0</v>
      </c>
      <c r="AAA15" s="1">
        <v>0</v>
      </c>
      <c r="AAB15" s="1">
        <v>0</v>
      </c>
      <c r="AAC15" s="1">
        <v>0</v>
      </c>
      <c r="AAD15" s="1">
        <v>4</v>
      </c>
      <c r="AAE15" s="1">
        <v>4</v>
      </c>
      <c r="AAF15" s="1">
        <v>4</v>
      </c>
      <c r="AAG15" s="1">
        <v>4</v>
      </c>
      <c r="AAH15" s="1">
        <v>4</v>
      </c>
      <c r="AAI15" s="1">
        <v>0</v>
      </c>
      <c r="AAJ15" s="1">
        <v>0</v>
      </c>
      <c r="AAK15" s="1">
        <v>0</v>
      </c>
      <c r="AAL15" s="1">
        <v>0</v>
      </c>
      <c r="AAM15" s="1">
        <v>0</v>
      </c>
      <c r="AAN15" s="1">
        <v>0</v>
      </c>
      <c r="AAO15" s="1">
        <v>0</v>
      </c>
      <c r="AAP15" s="1">
        <v>0</v>
      </c>
      <c r="AAQ15" s="1">
        <v>0</v>
      </c>
      <c r="AAR15" s="1">
        <v>0</v>
      </c>
      <c r="AAS15" s="1">
        <v>0</v>
      </c>
      <c r="AAT15" s="1">
        <v>0</v>
      </c>
      <c r="AAU15" s="1">
        <v>0</v>
      </c>
      <c r="AAV15" s="1">
        <v>0</v>
      </c>
      <c r="AAW15" s="1">
        <v>0</v>
      </c>
      <c r="AAX15" s="1">
        <v>0</v>
      </c>
      <c r="AAY15" s="1">
        <v>0</v>
      </c>
      <c r="AAZ15" s="1">
        <v>0</v>
      </c>
      <c r="ABA15" s="1">
        <v>0</v>
      </c>
      <c r="ABB15" s="1">
        <v>2</v>
      </c>
      <c r="ABC15" s="1">
        <v>3</v>
      </c>
      <c r="ABD15" s="1">
        <v>3</v>
      </c>
      <c r="ABE15" s="1">
        <v>3</v>
      </c>
      <c r="ABF15" s="1">
        <v>3</v>
      </c>
      <c r="ABG15" s="1">
        <v>0</v>
      </c>
      <c r="ABH15" s="1">
        <v>0</v>
      </c>
      <c r="ABI15" s="1">
        <v>0</v>
      </c>
      <c r="ABJ15" s="1">
        <v>0</v>
      </c>
      <c r="ABK15" s="1">
        <v>0</v>
      </c>
      <c r="ABL15" s="1">
        <v>0</v>
      </c>
      <c r="ABM15" s="1">
        <v>0</v>
      </c>
      <c r="ABN15" s="1">
        <v>0</v>
      </c>
      <c r="ABO15" s="1">
        <v>0</v>
      </c>
      <c r="ABP15" s="1">
        <v>0</v>
      </c>
      <c r="ABQ15" s="1">
        <v>0</v>
      </c>
      <c r="ABR15" s="1">
        <v>0</v>
      </c>
      <c r="ABS15" s="1">
        <v>0</v>
      </c>
      <c r="ABT15" s="1">
        <v>0</v>
      </c>
      <c r="ABU15" s="1">
        <v>0</v>
      </c>
      <c r="ABV15" s="1">
        <v>0</v>
      </c>
      <c r="ABW15" s="1">
        <v>0</v>
      </c>
      <c r="ABX15" s="1">
        <v>2</v>
      </c>
      <c r="ABY15" s="1">
        <v>2</v>
      </c>
      <c r="ABZ15" s="1">
        <v>2</v>
      </c>
      <c r="ACA15" s="1">
        <v>2</v>
      </c>
      <c r="ACB15" s="1">
        <v>2</v>
      </c>
      <c r="ACC15" s="1">
        <v>2</v>
      </c>
    </row>
    <row r="16" spans="1:757">
      <c r="A16" s="1" t="s">
        <v>773</v>
      </c>
      <c r="B16" s="1" t="s">
        <v>787</v>
      </c>
      <c r="C16" s="1" t="s">
        <v>785</v>
      </c>
      <c r="D16" s="1" t="s">
        <v>685</v>
      </c>
      <c r="E16" s="1" t="s">
        <v>685</v>
      </c>
      <c r="F16" s="1" t="s">
        <v>3034</v>
      </c>
      <c r="G16" s="77">
        <f t="shared" si="0"/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</v>
      </c>
      <c r="NS16" s="1">
        <v>0</v>
      </c>
      <c r="NT16" s="1">
        <v>0</v>
      </c>
      <c r="NU16" s="1">
        <v>0</v>
      </c>
      <c r="NV16" s="1">
        <v>0</v>
      </c>
      <c r="NW16" s="1">
        <v>0</v>
      </c>
      <c r="NX16" s="1">
        <v>0</v>
      </c>
      <c r="NY16" s="1">
        <v>0</v>
      </c>
      <c r="NZ16" s="1">
        <v>0</v>
      </c>
      <c r="OA16" s="1">
        <v>0</v>
      </c>
      <c r="OB16" s="1">
        <v>0</v>
      </c>
      <c r="OC16" s="1">
        <v>0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0</v>
      </c>
      <c r="OW16" s="1">
        <v>0</v>
      </c>
      <c r="OX16" s="1">
        <v>0</v>
      </c>
      <c r="OY16" s="1">
        <v>0</v>
      </c>
      <c r="OZ16" s="1">
        <v>0</v>
      </c>
      <c r="PA16" s="1">
        <v>0</v>
      </c>
      <c r="PB16" s="1">
        <v>0</v>
      </c>
      <c r="PC16" s="1">
        <v>0</v>
      </c>
      <c r="PD16" s="1">
        <v>0</v>
      </c>
      <c r="PE16" s="1">
        <v>0</v>
      </c>
      <c r="PF16" s="1">
        <v>0</v>
      </c>
      <c r="PG16" s="1">
        <v>0</v>
      </c>
      <c r="PH16" s="1">
        <v>0</v>
      </c>
      <c r="PI16" s="1">
        <v>0</v>
      </c>
      <c r="PJ16" s="1">
        <v>0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</v>
      </c>
      <c r="QF16" s="1">
        <v>0</v>
      </c>
      <c r="QG16" s="1">
        <v>0</v>
      </c>
      <c r="QH16" s="1">
        <v>0</v>
      </c>
      <c r="QI16" s="1">
        <v>0</v>
      </c>
      <c r="QJ16" s="1">
        <v>0</v>
      </c>
      <c r="QK16" s="1">
        <v>0</v>
      </c>
      <c r="QL16" s="1">
        <v>0</v>
      </c>
      <c r="QM16" s="1">
        <v>0</v>
      </c>
      <c r="QN16" s="1">
        <v>0</v>
      </c>
      <c r="QO16" s="1">
        <v>0</v>
      </c>
      <c r="QP16" s="1">
        <v>0</v>
      </c>
      <c r="QQ16" s="1">
        <v>0</v>
      </c>
      <c r="QR16" s="1">
        <v>0</v>
      </c>
      <c r="QS16" s="1">
        <v>0</v>
      </c>
      <c r="QT16" s="1">
        <v>0</v>
      </c>
      <c r="QU16" s="1">
        <v>0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0</v>
      </c>
      <c r="RC16" s="1">
        <v>0</v>
      </c>
      <c r="RD16" s="1">
        <v>0</v>
      </c>
      <c r="RE16" s="1">
        <v>0</v>
      </c>
      <c r="RF16" s="1">
        <v>0</v>
      </c>
      <c r="RG16" s="1">
        <v>0</v>
      </c>
      <c r="RH16" s="1">
        <v>0</v>
      </c>
      <c r="RI16" s="1">
        <v>0</v>
      </c>
      <c r="RJ16" s="1">
        <v>0</v>
      </c>
      <c r="RK16" s="1">
        <v>0</v>
      </c>
      <c r="RL16" s="1">
        <v>0</v>
      </c>
      <c r="RM16" s="1">
        <v>0</v>
      </c>
      <c r="RN16" s="1">
        <v>0</v>
      </c>
      <c r="RO16" s="1">
        <v>0</v>
      </c>
      <c r="RP16" s="1">
        <v>0</v>
      </c>
      <c r="RQ16" s="1">
        <v>0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0</v>
      </c>
      <c r="SD16" s="1">
        <v>0</v>
      </c>
      <c r="SE16" s="1">
        <v>0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0</v>
      </c>
      <c r="SW16" s="1">
        <v>0</v>
      </c>
      <c r="SX16" s="1">
        <v>0</v>
      </c>
      <c r="SY16" s="1">
        <v>0</v>
      </c>
      <c r="SZ16" s="1">
        <v>0</v>
      </c>
      <c r="TA16" s="1">
        <v>0</v>
      </c>
      <c r="TB16" s="1">
        <v>0</v>
      </c>
      <c r="TC16" s="1">
        <v>0</v>
      </c>
      <c r="TD16" s="1">
        <v>0</v>
      </c>
      <c r="TE16" s="1">
        <v>0</v>
      </c>
      <c r="TF16" s="1">
        <v>0</v>
      </c>
      <c r="TG16" s="1">
        <v>0</v>
      </c>
      <c r="TH16" s="1">
        <v>0</v>
      </c>
      <c r="TI16" s="1">
        <v>0</v>
      </c>
      <c r="TJ16" s="1">
        <v>0</v>
      </c>
      <c r="TK16" s="1">
        <v>0</v>
      </c>
      <c r="TL16" s="1">
        <v>0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0</v>
      </c>
      <c r="TY16" s="1">
        <v>0</v>
      </c>
      <c r="TZ16" s="1">
        <v>0</v>
      </c>
      <c r="UA16" s="1">
        <v>0</v>
      </c>
      <c r="UB16" s="1">
        <v>0</v>
      </c>
      <c r="UC16" s="1">
        <v>0</v>
      </c>
      <c r="UD16" s="1">
        <v>0</v>
      </c>
      <c r="UE16" s="1">
        <v>0</v>
      </c>
      <c r="UF16" s="1">
        <v>0</v>
      </c>
      <c r="UG16" s="1">
        <v>0</v>
      </c>
      <c r="UH16" s="1">
        <v>0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0</v>
      </c>
      <c r="UO16" s="1">
        <v>0</v>
      </c>
      <c r="UP16" s="1">
        <v>0</v>
      </c>
      <c r="UQ16" s="1">
        <v>0</v>
      </c>
      <c r="UR16" s="1">
        <v>0</v>
      </c>
      <c r="US16" s="1">
        <v>0</v>
      </c>
      <c r="UT16" s="1">
        <v>0</v>
      </c>
      <c r="UU16" s="1">
        <v>0</v>
      </c>
      <c r="UV16" s="1">
        <v>0</v>
      </c>
      <c r="UW16" s="1">
        <v>0</v>
      </c>
      <c r="UX16" s="1">
        <v>0</v>
      </c>
      <c r="UY16" s="1">
        <v>0</v>
      </c>
      <c r="UZ16" s="1">
        <v>0</v>
      </c>
      <c r="VA16" s="1">
        <v>0</v>
      </c>
      <c r="VB16" s="1">
        <v>0</v>
      </c>
      <c r="VC16" s="1">
        <v>0</v>
      </c>
      <c r="VD16" s="1">
        <v>0</v>
      </c>
      <c r="VE16" s="1">
        <v>0</v>
      </c>
      <c r="VF16" s="1">
        <v>0</v>
      </c>
      <c r="VG16" s="1">
        <v>0</v>
      </c>
      <c r="VH16" s="1">
        <v>0</v>
      </c>
      <c r="VI16" s="1">
        <v>0</v>
      </c>
      <c r="VJ16" s="1">
        <v>0</v>
      </c>
      <c r="VK16" s="1">
        <v>0</v>
      </c>
      <c r="VL16" s="1">
        <v>0</v>
      </c>
      <c r="VM16" s="1">
        <v>0</v>
      </c>
      <c r="VN16" s="1">
        <v>0</v>
      </c>
      <c r="VO16" s="1">
        <v>0</v>
      </c>
      <c r="VP16" s="1">
        <v>0</v>
      </c>
      <c r="VQ16" s="1">
        <v>0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</v>
      </c>
      <c r="WD16" s="1">
        <v>0</v>
      </c>
      <c r="WE16" s="1">
        <v>0</v>
      </c>
      <c r="WF16" s="1">
        <v>0</v>
      </c>
      <c r="WG16" s="1">
        <v>0</v>
      </c>
      <c r="WH16" s="1">
        <v>0</v>
      </c>
      <c r="WI16" s="1">
        <v>0</v>
      </c>
      <c r="WJ16" s="1">
        <v>0</v>
      </c>
      <c r="WK16" s="1">
        <v>0</v>
      </c>
      <c r="WL16" s="1">
        <v>0</v>
      </c>
      <c r="WM16" s="1">
        <v>0</v>
      </c>
      <c r="WN16" s="1">
        <v>0</v>
      </c>
      <c r="WO16" s="1">
        <v>0</v>
      </c>
      <c r="WP16" s="1">
        <v>0</v>
      </c>
      <c r="WQ16" s="1">
        <v>0</v>
      </c>
      <c r="WR16" s="1">
        <v>0</v>
      </c>
      <c r="WS16" s="1">
        <v>0</v>
      </c>
      <c r="WT16" s="1">
        <v>0</v>
      </c>
      <c r="WU16" s="1">
        <v>0</v>
      </c>
      <c r="WV16" s="1">
        <v>0</v>
      </c>
      <c r="WW16" s="1">
        <v>0</v>
      </c>
      <c r="WX16" s="1">
        <v>0</v>
      </c>
      <c r="WY16" s="1">
        <v>0</v>
      </c>
      <c r="WZ16" s="1">
        <v>0</v>
      </c>
      <c r="XA16" s="1">
        <v>0</v>
      </c>
      <c r="XB16" s="1">
        <v>0</v>
      </c>
      <c r="XC16" s="1">
        <v>0</v>
      </c>
      <c r="XD16" s="1">
        <v>0</v>
      </c>
      <c r="XE16" s="1">
        <v>0</v>
      </c>
      <c r="XF16" s="1">
        <v>0</v>
      </c>
      <c r="XG16" s="1">
        <v>0</v>
      </c>
      <c r="XH16" s="1">
        <v>0</v>
      </c>
      <c r="XI16" s="1">
        <v>0</v>
      </c>
      <c r="XJ16" s="1">
        <v>0</v>
      </c>
      <c r="XK16" s="1">
        <v>0</v>
      </c>
      <c r="XL16" s="1">
        <v>0</v>
      </c>
      <c r="XM16" s="1">
        <v>0</v>
      </c>
      <c r="XN16" s="1">
        <v>0</v>
      </c>
      <c r="XO16" s="1">
        <v>0</v>
      </c>
      <c r="XP16" s="1">
        <v>0</v>
      </c>
      <c r="XQ16" s="1">
        <v>0</v>
      </c>
      <c r="XR16" s="1">
        <v>0</v>
      </c>
      <c r="XS16" s="1">
        <v>0</v>
      </c>
      <c r="XT16" s="1">
        <v>0</v>
      </c>
      <c r="XU16" s="1">
        <v>0</v>
      </c>
      <c r="XV16" s="1">
        <v>0</v>
      </c>
      <c r="XW16" s="1">
        <v>0</v>
      </c>
      <c r="XX16" s="1">
        <v>0</v>
      </c>
      <c r="XY16" s="1">
        <v>0</v>
      </c>
      <c r="XZ16" s="1">
        <v>0</v>
      </c>
      <c r="YA16" s="1">
        <v>0</v>
      </c>
      <c r="YB16" s="1">
        <v>0</v>
      </c>
      <c r="YC16" s="1">
        <v>0</v>
      </c>
      <c r="YD16" s="1">
        <v>0</v>
      </c>
      <c r="YE16" s="1">
        <v>0</v>
      </c>
      <c r="YF16" s="1">
        <v>0</v>
      </c>
      <c r="YG16" s="1">
        <v>0</v>
      </c>
      <c r="YH16" s="1">
        <v>0</v>
      </c>
      <c r="YI16" s="1">
        <v>0</v>
      </c>
      <c r="YJ16" s="1">
        <v>0</v>
      </c>
      <c r="YK16" s="1">
        <v>0</v>
      </c>
      <c r="YL16" s="1">
        <v>0</v>
      </c>
      <c r="YM16" s="1">
        <v>0</v>
      </c>
      <c r="YN16" s="1">
        <v>0</v>
      </c>
      <c r="YO16" s="1">
        <v>0</v>
      </c>
      <c r="YP16" s="1">
        <v>0</v>
      </c>
      <c r="YQ16" s="1">
        <v>0</v>
      </c>
      <c r="YR16" s="1">
        <v>0</v>
      </c>
      <c r="YS16" s="1">
        <v>0</v>
      </c>
      <c r="YT16" s="1">
        <v>0</v>
      </c>
      <c r="YU16" s="1">
        <v>0</v>
      </c>
      <c r="YV16" s="1">
        <v>0</v>
      </c>
      <c r="YW16" s="1">
        <v>0</v>
      </c>
      <c r="YX16" s="1">
        <v>0</v>
      </c>
      <c r="YY16" s="1">
        <v>0</v>
      </c>
      <c r="YZ16" s="1">
        <v>0</v>
      </c>
      <c r="ZA16" s="1">
        <v>0</v>
      </c>
      <c r="ZB16" s="1">
        <v>0</v>
      </c>
      <c r="ZC16" s="1">
        <v>0</v>
      </c>
      <c r="ZD16" s="1">
        <v>0</v>
      </c>
      <c r="ZE16" s="1">
        <v>0</v>
      </c>
      <c r="ZF16" s="1">
        <v>0</v>
      </c>
      <c r="ZG16" s="1">
        <v>0</v>
      </c>
      <c r="ZH16" s="1">
        <v>0</v>
      </c>
      <c r="ZI16" s="1">
        <v>0</v>
      </c>
      <c r="ZJ16" s="1">
        <v>0</v>
      </c>
      <c r="ZK16" s="1">
        <v>0</v>
      </c>
      <c r="ZL16" s="1">
        <v>0</v>
      </c>
      <c r="ZM16" s="1">
        <v>0</v>
      </c>
      <c r="ZN16" s="1">
        <v>0</v>
      </c>
      <c r="ZO16" s="1">
        <v>0</v>
      </c>
      <c r="ZP16" s="1">
        <v>0</v>
      </c>
      <c r="ZQ16" s="1">
        <v>0</v>
      </c>
      <c r="ZR16" s="1">
        <v>0</v>
      </c>
      <c r="ZS16" s="1">
        <v>0</v>
      </c>
      <c r="ZT16" s="1">
        <v>0</v>
      </c>
      <c r="ZU16" s="1">
        <v>0</v>
      </c>
      <c r="ZV16" s="1">
        <v>0</v>
      </c>
      <c r="ZW16" s="1">
        <v>0</v>
      </c>
      <c r="ZX16" s="1">
        <v>0</v>
      </c>
      <c r="ZY16" s="1">
        <v>0</v>
      </c>
      <c r="ZZ16" s="1">
        <v>0</v>
      </c>
      <c r="AAA16" s="1">
        <v>0</v>
      </c>
      <c r="AAB16" s="1">
        <v>0</v>
      </c>
      <c r="AAC16" s="1">
        <v>0</v>
      </c>
      <c r="AAD16" s="1">
        <v>0</v>
      </c>
      <c r="AAE16" s="1">
        <v>0</v>
      </c>
      <c r="AAF16" s="1">
        <v>0</v>
      </c>
      <c r="AAG16" s="1">
        <v>0</v>
      </c>
      <c r="AAH16" s="1">
        <v>0</v>
      </c>
      <c r="AAI16" s="1">
        <v>0</v>
      </c>
      <c r="AAJ16" s="1">
        <v>0</v>
      </c>
      <c r="AAK16" s="1">
        <v>0</v>
      </c>
      <c r="AAL16" s="1">
        <v>0</v>
      </c>
      <c r="AAM16" s="1">
        <v>0</v>
      </c>
      <c r="AAN16" s="1">
        <v>0</v>
      </c>
      <c r="AAO16" s="1">
        <v>0</v>
      </c>
      <c r="AAP16" s="1">
        <v>0</v>
      </c>
      <c r="AAQ16" s="1">
        <v>0</v>
      </c>
      <c r="AAR16" s="1">
        <v>0</v>
      </c>
      <c r="AAS16" s="1">
        <v>0</v>
      </c>
      <c r="AAT16" s="1">
        <v>0</v>
      </c>
      <c r="AAU16" s="1">
        <v>0</v>
      </c>
      <c r="AAV16" s="1">
        <v>0</v>
      </c>
      <c r="AAW16" s="1">
        <v>0</v>
      </c>
      <c r="AAX16" s="1">
        <v>0</v>
      </c>
      <c r="AAY16" s="1">
        <v>0</v>
      </c>
      <c r="AAZ16" s="1">
        <v>0</v>
      </c>
      <c r="ABA16" s="1">
        <v>0</v>
      </c>
      <c r="ABB16" s="1">
        <v>0</v>
      </c>
      <c r="ABC16" s="1">
        <v>0</v>
      </c>
      <c r="ABD16" s="1">
        <v>0</v>
      </c>
      <c r="ABE16" s="1">
        <v>0</v>
      </c>
      <c r="ABF16" s="1">
        <v>0</v>
      </c>
      <c r="ABG16" s="1">
        <v>0</v>
      </c>
      <c r="ABH16" s="1">
        <v>0</v>
      </c>
      <c r="ABI16" s="1">
        <v>0</v>
      </c>
      <c r="ABJ16" s="1">
        <v>0</v>
      </c>
      <c r="ABK16" s="1">
        <v>0</v>
      </c>
      <c r="ABL16" s="1">
        <v>0</v>
      </c>
      <c r="ABM16" s="1">
        <v>0</v>
      </c>
      <c r="ABN16" s="1">
        <v>0</v>
      </c>
      <c r="ABO16" s="1">
        <v>0</v>
      </c>
      <c r="ABP16" s="1">
        <v>0</v>
      </c>
      <c r="ABQ16" s="1">
        <v>0</v>
      </c>
      <c r="ABR16" s="1">
        <v>0</v>
      </c>
      <c r="ABS16" s="1">
        <v>0</v>
      </c>
      <c r="ABT16" s="1">
        <v>0</v>
      </c>
      <c r="ABU16" s="1">
        <v>0</v>
      </c>
      <c r="ABV16" s="1">
        <v>0</v>
      </c>
      <c r="ABW16" s="1">
        <v>0</v>
      </c>
      <c r="ABX16" s="1">
        <v>0</v>
      </c>
      <c r="ABY16" s="1">
        <v>0</v>
      </c>
      <c r="ABZ16" s="1">
        <v>0</v>
      </c>
      <c r="ACA16" s="1">
        <v>0</v>
      </c>
      <c r="ACB16" s="1">
        <v>0</v>
      </c>
      <c r="ACC16" s="1">
        <v>0</v>
      </c>
    </row>
    <row r="17" spans="1:757">
      <c r="A17" s="1" t="s">
        <v>762</v>
      </c>
      <c r="B17" s="1" t="s">
        <v>786</v>
      </c>
      <c r="C17" s="1" t="s">
        <v>785</v>
      </c>
      <c r="D17" s="1" t="s">
        <v>685</v>
      </c>
      <c r="E17" s="1" t="s">
        <v>685</v>
      </c>
      <c r="F17" s="1" t="s">
        <v>3034</v>
      </c>
      <c r="G17" s="77">
        <f t="shared" si="0"/>
        <v>87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1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81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2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0</v>
      </c>
      <c r="NC17" s="1">
        <v>0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0</v>
      </c>
      <c r="NT17" s="1">
        <v>0</v>
      </c>
      <c r="NU17" s="1">
        <v>0</v>
      </c>
      <c r="NV17" s="1">
        <v>0</v>
      </c>
      <c r="NW17" s="1">
        <v>0</v>
      </c>
      <c r="NX17" s="1">
        <v>0</v>
      </c>
      <c r="NY17" s="1">
        <v>0</v>
      </c>
      <c r="NZ17" s="1">
        <v>0</v>
      </c>
      <c r="OA17" s="1">
        <v>0</v>
      </c>
      <c r="OB17" s="1">
        <v>0</v>
      </c>
      <c r="OC17" s="1">
        <v>0</v>
      </c>
      <c r="OD17" s="1">
        <v>0</v>
      </c>
      <c r="OE17" s="1">
        <v>0</v>
      </c>
      <c r="OF17" s="1">
        <v>0</v>
      </c>
      <c r="OG17" s="1">
        <v>0</v>
      </c>
      <c r="OH17" s="1">
        <v>0</v>
      </c>
      <c r="OI17" s="1">
        <v>0</v>
      </c>
      <c r="OJ17" s="1">
        <v>0</v>
      </c>
      <c r="OK17" s="1">
        <v>0</v>
      </c>
      <c r="OL17" s="1">
        <v>0</v>
      </c>
      <c r="OM17" s="1">
        <v>0</v>
      </c>
      <c r="ON17" s="1">
        <v>0</v>
      </c>
      <c r="OO17" s="1">
        <v>0</v>
      </c>
      <c r="OP17" s="1">
        <v>0</v>
      </c>
      <c r="OQ17" s="1">
        <v>0</v>
      </c>
      <c r="OR17" s="1">
        <v>0</v>
      </c>
      <c r="OS17" s="1">
        <v>0</v>
      </c>
      <c r="OT17" s="1">
        <v>0</v>
      </c>
      <c r="OU17" s="1">
        <v>0</v>
      </c>
      <c r="OV17" s="1">
        <v>0</v>
      </c>
      <c r="OW17" s="1">
        <v>0</v>
      </c>
      <c r="OX17" s="1">
        <v>0</v>
      </c>
      <c r="OY17" s="1">
        <v>0</v>
      </c>
      <c r="OZ17" s="1">
        <v>0</v>
      </c>
      <c r="PA17" s="1">
        <v>0</v>
      </c>
      <c r="PB17" s="1">
        <v>0</v>
      </c>
      <c r="PC17" s="1">
        <v>0</v>
      </c>
      <c r="PD17" s="1">
        <v>0</v>
      </c>
      <c r="PE17" s="1">
        <v>0</v>
      </c>
      <c r="PF17" s="1">
        <v>0</v>
      </c>
      <c r="PG17" s="1">
        <v>0</v>
      </c>
      <c r="PH17" s="1">
        <v>0</v>
      </c>
      <c r="PI17" s="1">
        <v>0</v>
      </c>
      <c r="PJ17" s="1">
        <v>0</v>
      </c>
      <c r="PK17" s="1">
        <v>0</v>
      </c>
      <c r="PL17" s="1">
        <v>0</v>
      </c>
      <c r="PM17" s="1">
        <v>0</v>
      </c>
      <c r="PN17" s="1">
        <v>0</v>
      </c>
      <c r="PO17" s="1">
        <v>0</v>
      </c>
      <c r="PP17" s="1">
        <v>0</v>
      </c>
      <c r="PQ17" s="1">
        <v>0</v>
      </c>
      <c r="PR17" s="1">
        <v>0</v>
      </c>
      <c r="PS17" s="1">
        <v>0</v>
      </c>
      <c r="PT17" s="1">
        <v>0</v>
      </c>
      <c r="PU17" s="1">
        <v>0</v>
      </c>
      <c r="PV17" s="1">
        <v>0</v>
      </c>
      <c r="PW17" s="1">
        <v>0</v>
      </c>
      <c r="PX17" s="1">
        <v>0</v>
      </c>
      <c r="PY17" s="1">
        <v>0</v>
      </c>
      <c r="PZ17" s="1">
        <v>0</v>
      </c>
      <c r="QA17" s="1">
        <v>0</v>
      </c>
      <c r="QB17" s="1">
        <v>0</v>
      </c>
      <c r="QC17" s="1">
        <v>0</v>
      </c>
      <c r="QD17" s="1">
        <v>0</v>
      </c>
      <c r="QE17" s="1">
        <v>0</v>
      </c>
      <c r="QF17" s="1">
        <v>0</v>
      </c>
      <c r="QG17" s="1">
        <v>0</v>
      </c>
      <c r="QH17" s="1">
        <v>0</v>
      </c>
      <c r="QI17" s="1">
        <v>0</v>
      </c>
      <c r="QJ17" s="1">
        <v>0</v>
      </c>
      <c r="QK17" s="1">
        <v>0</v>
      </c>
      <c r="QL17" s="1">
        <v>0</v>
      </c>
      <c r="QM17" s="1">
        <v>0</v>
      </c>
      <c r="QN17" s="1">
        <v>0</v>
      </c>
      <c r="QO17" s="1">
        <v>0</v>
      </c>
      <c r="QP17" s="1">
        <v>0</v>
      </c>
      <c r="QQ17" s="1">
        <v>0</v>
      </c>
      <c r="QR17" s="1">
        <v>0</v>
      </c>
      <c r="QS17" s="1">
        <v>0</v>
      </c>
      <c r="QT17" s="1">
        <v>0</v>
      </c>
      <c r="QU17" s="1">
        <v>0</v>
      </c>
      <c r="QV17" s="1">
        <v>0</v>
      </c>
      <c r="QW17" s="1">
        <v>0</v>
      </c>
      <c r="QX17" s="1">
        <v>0</v>
      </c>
      <c r="QY17" s="1">
        <v>0</v>
      </c>
      <c r="QZ17" s="1">
        <v>0</v>
      </c>
      <c r="RA17" s="1">
        <v>0</v>
      </c>
      <c r="RB17" s="1">
        <v>0</v>
      </c>
      <c r="RC17" s="1">
        <v>0</v>
      </c>
      <c r="RD17" s="1">
        <v>0</v>
      </c>
      <c r="RE17" s="1">
        <v>0</v>
      </c>
      <c r="RF17" s="1">
        <v>0</v>
      </c>
      <c r="RG17" s="1">
        <v>0</v>
      </c>
      <c r="RH17" s="1">
        <v>0</v>
      </c>
      <c r="RI17" s="1">
        <v>0</v>
      </c>
      <c r="RJ17" s="1">
        <v>0</v>
      </c>
      <c r="RK17" s="1">
        <v>0</v>
      </c>
      <c r="RL17" s="1">
        <v>0</v>
      </c>
      <c r="RM17" s="1">
        <v>0</v>
      </c>
      <c r="RN17" s="1">
        <v>0</v>
      </c>
      <c r="RO17" s="1">
        <v>0</v>
      </c>
      <c r="RP17" s="1">
        <v>0</v>
      </c>
      <c r="RQ17" s="1">
        <v>0</v>
      </c>
      <c r="RR17" s="1">
        <v>0</v>
      </c>
      <c r="RS17" s="1">
        <v>0</v>
      </c>
      <c r="RT17" s="1">
        <v>0</v>
      </c>
      <c r="RU17" s="1">
        <v>0</v>
      </c>
      <c r="RV17" s="1">
        <v>0</v>
      </c>
      <c r="RW17" s="1">
        <v>0</v>
      </c>
      <c r="RX17" s="1">
        <v>0</v>
      </c>
      <c r="RY17" s="1">
        <v>0</v>
      </c>
      <c r="RZ17" s="1">
        <v>0</v>
      </c>
      <c r="SA17" s="1">
        <v>0</v>
      </c>
      <c r="SB17" s="1">
        <v>0</v>
      </c>
      <c r="SC17" s="1">
        <v>0</v>
      </c>
      <c r="SD17" s="1">
        <v>0</v>
      </c>
      <c r="SE17" s="1">
        <v>0</v>
      </c>
      <c r="SF17" s="1">
        <v>0</v>
      </c>
      <c r="SG17" s="1">
        <v>0</v>
      </c>
      <c r="SH17" s="1">
        <v>0</v>
      </c>
      <c r="SI17" s="1">
        <v>0</v>
      </c>
      <c r="SJ17" s="1">
        <v>0</v>
      </c>
      <c r="SK17" s="1">
        <v>0</v>
      </c>
      <c r="SL17" s="1">
        <v>0</v>
      </c>
      <c r="SM17" s="1">
        <v>0</v>
      </c>
      <c r="SN17" s="1">
        <v>0</v>
      </c>
      <c r="SO17" s="1">
        <v>0</v>
      </c>
      <c r="SP17" s="1">
        <v>0</v>
      </c>
      <c r="SQ17" s="1">
        <v>0</v>
      </c>
      <c r="SR17" s="1">
        <v>0</v>
      </c>
      <c r="SS17" s="1">
        <v>0</v>
      </c>
      <c r="ST17" s="1">
        <v>0</v>
      </c>
      <c r="SU17" s="1">
        <v>0</v>
      </c>
      <c r="SV17" s="1">
        <v>0</v>
      </c>
      <c r="SW17" s="1">
        <v>0</v>
      </c>
      <c r="SX17" s="1">
        <v>0</v>
      </c>
      <c r="SY17" s="1">
        <v>0</v>
      </c>
      <c r="SZ17" s="1">
        <v>0</v>
      </c>
      <c r="TA17" s="1">
        <v>0</v>
      </c>
      <c r="TB17" s="1">
        <v>0</v>
      </c>
      <c r="TC17" s="1">
        <v>0</v>
      </c>
      <c r="TD17" s="1">
        <v>0</v>
      </c>
      <c r="TE17" s="1">
        <v>0</v>
      </c>
      <c r="TF17" s="1">
        <v>0</v>
      </c>
      <c r="TG17" s="1">
        <v>0</v>
      </c>
      <c r="TH17" s="1">
        <v>0</v>
      </c>
      <c r="TI17" s="1">
        <v>0</v>
      </c>
      <c r="TJ17" s="1">
        <v>0</v>
      </c>
      <c r="TK17" s="1">
        <v>0</v>
      </c>
      <c r="TL17" s="1">
        <v>0</v>
      </c>
      <c r="TM17" s="1">
        <v>0</v>
      </c>
      <c r="TN17" s="1">
        <v>0</v>
      </c>
      <c r="TO17" s="1">
        <v>0</v>
      </c>
      <c r="TP17" s="1">
        <v>0</v>
      </c>
      <c r="TQ17" s="1">
        <v>0</v>
      </c>
      <c r="TR17" s="1">
        <v>0</v>
      </c>
      <c r="TS17" s="1">
        <v>0</v>
      </c>
      <c r="TT17" s="1">
        <v>0</v>
      </c>
      <c r="TU17" s="1">
        <v>0</v>
      </c>
      <c r="TV17" s="1">
        <v>0</v>
      </c>
      <c r="TW17" s="1">
        <v>0</v>
      </c>
      <c r="TX17" s="1">
        <v>0</v>
      </c>
      <c r="TY17" s="1">
        <v>0</v>
      </c>
      <c r="TZ17" s="1">
        <v>0</v>
      </c>
      <c r="UA17" s="1">
        <v>0</v>
      </c>
      <c r="UB17" s="1">
        <v>0</v>
      </c>
      <c r="UC17" s="1">
        <v>0</v>
      </c>
      <c r="UD17" s="1">
        <v>0</v>
      </c>
      <c r="UE17" s="1">
        <v>0</v>
      </c>
      <c r="UF17" s="1">
        <v>0</v>
      </c>
      <c r="UG17" s="1">
        <v>0</v>
      </c>
      <c r="UH17" s="1">
        <v>0</v>
      </c>
      <c r="UI17" s="1">
        <v>0</v>
      </c>
      <c r="UJ17" s="1">
        <v>0</v>
      </c>
      <c r="UK17" s="1">
        <v>0</v>
      </c>
      <c r="UL17" s="1">
        <v>0</v>
      </c>
      <c r="UM17" s="1">
        <v>0</v>
      </c>
      <c r="UN17" s="1">
        <v>0</v>
      </c>
      <c r="UO17" s="1">
        <v>0</v>
      </c>
      <c r="UP17" s="1">
        <v>0</v>
      </c>
      <c r="UQ17" s="1">
        <v>0</v>
      </c>
      <c r="UR17" s="1">
        <v>0</v>
      </c>
      <c r="US17" s="1">
        <v>0</v>
      </c>
      <c r="UT17" s="1">
        <v>0</v>
      </c>
      <c r="UU17" s="1">
        <v>0</v>
      </c>
      <c r="UV17" s="1">
        <v>0</v>
      </c>
      <c r="UW17" s="1">
        <v>0</v>
      </c>
      <c r="UX17" s="1">
        <v>0</v>
      </c>
      <c r="UY17" s="1">
        <v>0</v>
      </c>
      <c r="UZ17" s="1">
        <v>0</v>
      </c>
      <c r="VA17" s="1">
        <v>0</v>
      </c>
      <c r="VB17" s="1">
        <v>0</v>
      </c>
      <c r="VC17" s="1">
        <v>0</v>
      </c>
      <c r="VD17" s="1">
        <v>0</v>
      </c>
      <c r="VE17" s="1">
        <v>0</v>
      </c>
      <c r="VF17" s="1">
        <v>0</v>
      </c>
      <c r="VG17" s="1">
        <v>0</v>
      </c>
      <c r="VH17" s="1">
        <v>0</v>
      </c>
      <c r="VI17" s="1">
        <v>0</v>
      </c>
      <c r="VJ17" s="1">
        <v>0</v>
      </c>
      <c r="VK17" s="1">
        <v>0</v>
      </c>
      <c r="VL17" s="1">
        <v>0</v>
      </c>
      <c r="VM17" s="1">
        <v>0</v>
      </c>
      <c r="VN17" s="1">
        <v>0</v>
      </c>
      <c r="VO17" s="1">
        <v>0</v>
      </c>
      <c r="VP17" s="1">
        <v>0</v>
      </c>
      <c r="VQ17" s="1">
        <v>0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 s="1">
        <v>0</v>
      </c>
      <c r="VX17" s="1">
        <v>0</v>
      </c>
      <c r="VY17" s="1">
        <v>0</v>
      </c>
      <c r="VZ17" s="1">
        <v>0</v>
      </c>
      <c r="WA17" s="1">
        <v>0</v>
      </c>
      <c r="WB17" s="1">
        <v>0</v>
      </c>
      <c r="WC17" s="1">
        <v>0</v>
      </c>
      <c r="WD17" s="1">
        <v>0</v>
      </c>
      <c r="WE17" s="1">
        <v>0</v>
      </c>
      <c r="WF17" s="1">
        <v>0</v>
      </c>
      <c r="WG17" s="1">
        <v>0</v>
      </c>
      <c r="WH17" s="1">
        <v>0</v>
      </c>
      <c r="WI17" s="1">
        <v>0</v>
      </c>
      <c r="WJ17" s="1">
        <v>0</v>
      </c>
      <c r="WK17" s="1">
        <v>0</v>
      </c>
      <c r="WL17" s="1">
        <v>0</v>
      </c>
      <c r="WM17" s="1">
        <v>0</v>
      </c>
      <c r="WN17" s="1">
        <v>0</v>
      </c>
      <c r="WO17" s="1">
        <v>0</v>
      </c>
      <c r="WP17" s="1">
        <v>0</v>
      </c>
      <c r="WQ17" s="1">
        <v>0</v>
      </c>
      <c r="WR17" s="1">
        <v>0</v>
      </c>
      <c r="WS17" s="1">
        <v>0</v>
      </c>
      <c r="WT17" s="1">
        <v>0</v>
      </c>
      <c r="WU17" s="1">
        <v>0</v>
      </c>
      <c r="WV17" s="1">
        <v>0</v>
      </c>
      <c r="WW17" s="1">
        <v>0</v>
      </c>
      <c r="WX17" s="1">
        <v>0</v>
      </c>
      <c r="WY17" s="1">
        <v>0</v>
      </c>
      <c r="WZ17" s="1">
        <v>0</v>
      </c>
      <c r="XA17" s="1">
        <v>0</v>
      </c>
      <c r="XB17" s="1">
        <v>0</v>
      </c>
      <c r="XC17" s="1">
        <v>0</v>
      </c>
      <c r="XD17" s="1">
        <v>0</v>
      </c>
      <c r="XE17" s="1">
        <v>0</v>
      </c>
      <c r="XF17" s="1">
        <v>0</v>
      </c>
      <c r="XG17" s="1">
        <v>0</v>
      </c>
      <c r="XH17" s="1">
        <v>0</v>
      </c>
      <c r="XI17" s="1">
        <v>0</v>
      </c>
      <c r="XJ17" s="1">
        <v>0</v>
      </c>
      <c r="XK17" s="1">
        <v>0</v>
      </c>
      <c r="XL17" s="1">
        <v>0</v>
      </c>
      <c r="XM17" s="1">
        <v>0</v>
      </c>
      <c r="XN17" s="1">
        <v>0</v>
      </c>
      <c r="XO17" s="1">
        <v>0</v>
      </c>
      <c r="XP17" s="1">
        <v>0</v>
      </c>
      <c r="XQ17" s="1">
        <v>0</v>
      </c>
      <c r="XR17" s="1">
        <v>0</v>
      </c>
      <c r="XS17" s="1">
        <v>0</v>
      </c>
      <c r="XT17" s="1">
        <v>0</v>
      </c>
      <c r="XU17" s="1">
        <v>0</v>
      </c>
      <c r="XV17" s="1">
        <v>0</v>
      </c>
      <c r="XW17" s="1">
        <v>0</v>
      </c>
      <c r="XX17" s="1">
        <v>0</v>
      </c>
      <c r="XY17" s="1">
        <v>0</v>
      </c>
      <c r="XZ17" s="1">
        <v>0</v>
      </c>
      <c r="YA17" s="1">
        <v>0</v>
      </c>
      <c r="YB17" s="1">
        <v>0</v>
      </c>
      <c r="YC17" s="1">
        <v>0</v>
      </c>
      <c r="YD17" s="1">
        <v>0</v>
      </c>
      <c r="YE17" s="1">
        <v>0</v>
      </c>
      <c r="YF17" s="1">
        <v>0</v>
      </c>
      <c r="YG17" s="1">
        <v>0</v>
      </c>
      <c r="YH17" s="1">
        <v>0</v>
      </c>
      <c r="YI17" s="1">
        <v>0</v>
      </c>
      <c r="YJ17" s="1">
        <v>0</v>
      </c>
      <c r="YK17" s="1">
        <v>0</v>
      </c>
      <c r="YL17" s="1">
        <v>0</v>
      </c>
      <c r="YM17" s="1">
        <v>0</v>
      </c>
      <c r="YN17" s="1">
        <v>0</v>
      </c>
      <c r="YO17" s="1">
        <v>0</v>
      </c>
      <c r="YP17" s="1">
        <v>0</v>
      </c>
      <c r="YQ17" s="1">
        <v>0</v>
      </c>
      <c r="YR17" s="1">
        <v>0</v>
      </c>
      <c r="YS17" s="1">
        <v>0</v>
      </c>
      <c r="YT17" s="1">
        <v>0</v>
      </c>
      <c r="YU17" s="1">
        <v>0</v>
      </c>
      <c r="YV17" s="1">
        <v>0</v>
      </c>
      <c r="YW17" s="1">
        <v>0</v>
      </c>
      <c r="YX17" s="1">
        <v>0</v>
      </c>
      <c r="YY17" s="1">
        <v>0</v>
      </c>
      <c r="YZ17" s="1">
        <v>0</v>
      </c>
      <c r="ZA17" s="1">
        <v>0</v>
      </c>
      <c r="ZB17" s="1">
        <v>0</v>
      </c>
      <c r="ZC17" s="1">
        <v>0</v>
      </c>
      <c r="ZD17" s="1">
        <v>0</v>
      </c>
      <c r="ZE17" s="1">
        <v>0</v>
      </c>
      <c r="ZF17" s="1">
        <v>0</v>
      </c>
      <c r="ZG17" s="1">
        <v>0</v>
      </c>
      <c r="ZH17" s="1">
        <v>0</v>
      </c>
      <c r="ZI17" s="1">
        <v>0</v>
      </c>
      <c r="ZJ17" s="1">
        <v>0</v>
      </c>
      <c r="ZK17" s="1">
        <v>0</v>
      </c>
      <c r="ZL17" s="1">
        <v>0</v>
      </c>
      <c r="ZM17" s="1">
        <v>0</v>
      </c>
      <c r="ZN17" s="1">
        <v>0</v>
      </c>
      <c r="ZO17" s="1">
        <v>0</v>
      </c>
      <c r="ZP17" s="1">
        <v>0</v>
      </c>
      <c r="ZQ17" s="1">
        <v>0</v>
      </c>
      <c r="ZR17" s="1">
        <v>0</v>
      </c>
      <c r="ZS17" s="1">
        <v>0</v>
      </c>
      <c r="ZT17" s="1">
        <v>0</v>
      </c>
      <c r="ZU17" s="1">
        <v>0</v>
      </c>
      <c r="ZV17" s="1">
        <v>0</v>
      </c>
      <c r="ZW17" s="1">
        <v>0</v>
      </c>
      <c r="ZX17" s="1">
        <v>0</v>
      </c>
      <c r="ZY17" s="1">
        <v>0</v>
      </c>
      <c r="ZZ17" s="1">
        <v>0</v>
      </c>
      <c r="AAA17" s="1">
        <v>0</v>
      </c>
      <c r="AAB17" s="1">
        <v>0</v>
      </c>
      <c r="AAC17" s="1">
        <v>0</v>
      </c>
      <c r="AAD17" s="1">
        <v>0</v>
      </c>
      <c r="AAE17" s="1">
        <v>0</v>
      </c>
      <c r="AAF17" s="1">
        <v>0</v>
      </c>
      <c r="AAG17" s="1">
        <v>0</v>
      </c>
      <c r="AAH17" s="1">
        <v>0</v>
      </c>
      <c r="AAI17" s="1">
        <v>0</v>
      </c>
      <c r="AAJ17" s="1">
        <v>0</v>
      </c>
      <c r="AAK17" s="1">
        <v>0</v>
      </c>
      <c r="AAL17" s="1">
        <v>0</v>
      </c>
      <c r="AAM17" s="1">
        <v>0</v>
      </c>
      <c r="AAN17" s="1">
        <v>0</v>
      </c>
      <c r="AAO17" s="1">
        <v>0</v>
      </c>
      <c r="AAP17" s="1">
        <v>0</v>
      </c>
      <c r="AAQ17" s="1">
        <v>0</v>
      </c>
      <c r="AAR17" s="1">
        <v>0</v>
      </c>
      <c r="AAS17" s="1">
        <v>0</v>
      </c>
      <c r="AAT17" s="1">
        <v>0</v>
      </c>
      <c r="AAU17" s="1">
        <v>0</v>
      </c>
      <c r="AAV17" s="1">
        <v>0</v>
      </c>
      <c r="AAW17" s="1">
        <v>0</v>
      </c>
      <c r="AAX17" s="1">
        <v>0</v>
      </c>
      <c r="AAY17" s="1">
        <v>0</v>
      </c>
      <c r="AAZ17" s="1">
        <v>0</v>
      </c>
      <c r="ABA17" s="1">
        <v>0</v>
      </c>
      <c r="ABB17" s="1">
        <v>0</v>
      </c>
      <c r="ABC17" s="1">
        <v>0</v>
      </c>
      <c r="ABD17" s="1">
        <v>0</v>
      </c>
      <c r="ABE17" s="1">
        <v>0</v>
      </c>
      <c r="ABF17" s="1">
        <v>0</v>
      </c>
      <c r="ABG17" s="1">
        <v>0</v>
      </c>
      <c r="ABH17" s="1">
        <v>0</v>
      </c>
      <c r="ABI17" s="1">
        <v>0</v>
      </c>
      <c r="ABJ17" s="1">
        <v>0</v>
      </c>
      <c r="ABK17" s="1">
        <v>0</v>
      </c>
      <c r="ABL17" s="1">
        <v>0</v>
      </c>
      <c r="ABM17" s="1">
        <v>0</v>
      </c>
      <c r="ABN17" s="1">
        <v>0</v>
      </c>
      <c r="ABO17" s="1">
        <v>0</v>
      </c>
      <c r="ABP17" s="1">
        <v>0</v>
      </c>
      <c r="ABQ17" s="1">
        <v>0</v>
      </c>
      <c r="ABR17" s="1">
        <v>0</v>
      </c>
      <c r="ABS17" s="1">
        <v>0</v>
      </c>
      <c r="ABT17" s="1">
        <v>0</v>
      </c>
      <c r="ABU17" s="1">
        <v>0</v>
      </c>
      <c r="ABV17" s="1">
        <v>0</v>
      </c>
      <c r="ABW17" s="1">
        <v>0</v>
      </c>
      <c r="ABX17" s="1">
        <v>0</v>
      </c>
      <c r="ABY17" s="1">
        <v>0</v>
      </c>
      <c r="ABZ17" s="1">
        <v>0</v>
      </c>
      <c r="ACA17" s="1">
        <v>0</v>
      </c>
      <c r="ACB17" s="1">
        <v>0</v>
      </c>
      <c r="ACC17" s="1">
        <v>0</v>
      </c>
    </row>
    <row r="19" spans="1:757" s="8" customFormat="1">
      <c r="F19" s="67" t="s">
        <v>653</v>
      </c>
      <c r="G19" s="68">
        <f t="shared" ref="G19:BR19" si="1">SUM(G2:G17)</f>
        <v>1225111</v>
      </c>
      <c r="H19" s="68">
        <f t="shared" si="1"/>
        <v>387957</v>
      </c>
      <c r="I19" s="68">
        <f t="shared" si="1"/>
        <v>366532</v>
      </c>
      <c r="J19" s="68">
        <f t="shared" si="1"/>
        <v>110109</v>
      </c>
      <c r="K19" s="68">
        <f t="shared" si="1"/>
        <v>44616</v>
      </c>
      <c r="L19" s="68">
        <f t="shared" si="1"/>
        <v>26812</v>
      </c>
      <c r="M19" s="68">
        <f t="shared" si="1"/>
        <v>12018</v>
      </c>
      <c r="N19" s="68">
        <f t="shared" si="1"/>
        <v>12003</v>
      </c>
      <c r="O19" s="68">
        <f t="shared" si="1"/>
        <v>10481</v>
      </c>
      <c r="P19" s="68">
        <f t="shared" si="1"/>
        <v>9939</v>
      </c>
      <c r="Q19" s="68">
        <f t="shared" si="1"/>
        <v>8601</v>
      </c>
      <c r="R19" s="68">
        <f t="shared" si="1"/>
        <v>8553</v>
      </c>
      <c r="S19" s="68">
        <f t="shared" si="1"/>
        <v>8202</v>
      </c>
      <c r="T19" s="68">
        <f t="shared" si="1"/>
        <v>7668</v>
      </c>
      <c r="U19" s="68">
        <f t="shared" si="1"/>
        <v>7413</v>
      </c>
      <c r="V19" s="68">
        <f t="shared" si="1"/>
        <v>6477</v>
      </c>
      <c r="W19" s="68">
        <f t="shared" si="1"/>
        <v>6331</v>
      </c>
      <c r="X19" s="68">
        <f t="shared" si="1"/>
        <v>5596</v>
      </c>
      <c r="Y19" s="68">
        <f t="shared" si="1"/>
        <v>5527</v>
      </c>
      <c r="Z19" s="68">
        <f t="shared" si="1"/>
        <v>5102</v>
      </c>
      <c r="AA19" s="68">
        <f t="shared" si="1"/>
        <v>4727</v>
      </c>
      <c r="AB19" s="68">
        <f t="shared" si="1"/>
        <v>4463</v>
      </c>
      <c r="AC19" s="68">
        <f t="shared" si="1"/>
        <v>4322</v>
      </c>
      <c r="AD19" s="68">
        <f t="shared" si="1"/>
        <v>4174</v>
      </c>
      <c r="AE19" s="68">
        <f t="shared" si="1"/>
        <v>3882</v>
      </c>
      <c r="AF19" s="68">
        <f t="shared" si="1"/>
        <v>3738</v>
      </c>
      <c r="AG19" s="68">
        <f t="shared" si="1"/>
        <v>3710</v>
      </c>
      <c r="AH19" s="68">
        <f t="shared" si="1"/>
        <v>3581</v>
      </c>
      <c r="AI19" s="68">
        <f t="shared" si="1"/>
        <v>3526</v>
      </c>
      <c r="AJ19" s="68">
        <f t="shared" si="1"/>
        <v>3429</v>
      </c>
      <c r="AK19" s="68">
        <f t="shared" si="1"/>
        <v>3349</v>
      </c>
      <c r="AL19" s="68">
        <f t="shared" si="1"/>
        <v>3083</v>
      </c>
      <c r="AM19" s="68">
        <f t="shared" si="1"/>
        <v>2923</v>
      </c>
      <c r="AN19" s="68">
        <f t="shared" si="1"/>
        <v>2475</v>
      </c>
      <c r="AO19" s="68">
        <f t="shared" si="1"/>
        <v>2416</v>
      </c>
      <c r="AP19" s="68">
        <f t="shared" si="1"/>
        <v>2367</v>
      </c>
      <c r="AQ19" s="68">
        <f t="shared" si="1"/>
        <v>2355</v>
      </c>
      <c r="AR19" s="68">
        <f t="shared" si="1"/>
        <v>2348</v>
      </c>
      <c r="AS19" s="68">
        <f t="shared" si="1"/>
        <v>2314</v>
      </c>
      <c r="AT19" s="68">
        <f t="shared" si="1"/>
        <v>2284</v>
      </c>
      <c r="AU19" s="68">
        <f t="shared" si="1"/>
        <v>2202</v>
      </c>
      <c r="AV19" s="68">
        <f t="shared" si="1"/>
        <v>2054</v>
      </c>
      <c r="AW19" s="68">
        <f t="shared" si="1"/>
        <v>2032</v>
      </c>
      <c r="AX19" s="68">
        <f t="shared" si="1"/>
        <v>1959</v>
      </c>
      <c r="AY19" s="68">
        <f t="shared" si="1"/>
        <v>1719</v>
      </c>
      <c r="AZ19" s="68">
        <f t="shared" si="1"/>
        <v>1715</v>
      </c>
      <c r="BA19" s="68">
        <f t="shared" si="1"/>
        <v>1703</v>
      </c>
      <c r="BB19" s="68">
        <f t="shared" si="1"/>
        <v>1565</v>
      </c>
      <c r="BC19" s="68">
        <f t="shared" si="1"/>
        <v>1496</v>
      </c>
      <c r="BD19" s="68">
        <f t="shared" si="1"/>
        <v>1487</v>
      </c>
      <c r="BE19" s="68">
        <f t="shared" si="1"/>
        <v>1446</v>
      </c>
      <c r="BF19" s="68">
        <f t="shared" si="1"/>
        <v>1446</v>
      </c>
      <c r="BG19" s="68">
        <f t="shared" si="1"/>
        <v>1364</v>
      </c>
      <c r="BH19" s="68">
        <f t="shared" si="1"/>
        <v>1299</v>
      </c>
      <c r="BI19" s="68">
        <f t="shared" si="1"/>
        <v>1249</v>
      </c>
      <c r="BJ19" s="68">
        <f t="shared" si="1"/>
        <v>1187</v>
      </c>
      <c r="BK19" s="68">
        <f t="shared" si="1"/>
        <v>1172</v>
      </c>
      <c r="BL19" s="68">
        <f t="shared" si="1"/>
        <v>1165</v>
      </c>
      <c r="BM19" s="68">
        <f t="shared" si="1"/>
        <v>1143</v>
      </c>
      <c r="BN19" s="68">
        <f t="shared" si="1"/>
        <v>1117</v>
      </c>
      <c r="BO19" s="68">
        <f t="shared" si="1"/>
        <v>1075</v>
      </c>
      <c r="BP19" s="68">
        <f t="shared" si="1"/>
        <v>1008</v>
      </c>
      <c r="BQ19" s="68">
        <f t="shared" si="1"/>
        <v>963</v>
      </c>
      <c r="BR19" s="68">
        <f t="shared" si="1"/>
        <v>942</v>
      </c>
      <c r="BS19" s="68">
        <f t="shared" ref="BS19:ED19" si="2">SUM(BS2:BS17)</f>
        <v>922</v>
      </c>
      <c r="BT19" s="68">
        <f t="shared" si="2"/>
        <v>891</v>
      </c>
      <c r="BU19" s="68">
        <f t="shared" si="2"/>
        <v>887</v>
      </c>
      <c r="BV19" s="68">
        <f t="shared" si="2"/>
        <v>878</v>
      </c>
      <c r="BW19" s="68">
        <f t="shared" si="2"/>
        <v>861</v>
      </c>
      <c r="BX19" s="68">
        <f t="shared" si="2"/>
        <v>855</v>
      </c>
      <c r="BY19" s="68">
        <f t="shared" si="2"/>
        <v>848</v>
      </c>
      <c r="BZ19" s="68">
        <f t="shared" si="2"/>
        <v>835</v>
      </c>
      <c r="CA19" s="68">
        <f t="shared" si="2"/>
        <v>814</v>
      </c>
      <c r="CB19" s="68">
        <f t="shared" si="2"/>
        <v>797</v>
      </c>
      <c r="CC19" s="68">
        <f t="shared" si="2"/>
        <v>796</v>
      </c>
      <c r="CD19" s="68">
        <f t="shared" si="2"/>
        <v>778</v>
      </c>
      <c r="CE19" s="68">
        <f t="shared" si="2"/>
        <v>760</v>
      </c>
      <c r="CF19" s="68">
        <f t="shared" si="2"/>
        <v>748</v>
      </c>
      <c r="CG19" s="68">
        <f t="shared" si="2"/>
        <v>746</v>
      </c>
      <c r="CH19" s="68">
        <f t="shared" si="2"/>
        <v>739</v>
      </c>
      <c r="CI19" s="68">
        <f t="shared" si="2"/>
        <v>730</v>
      </c>
      <c r="CJ19" s="68">
        <f t="shared" si="2"/>
        <v>726</v>
      </c>
      <c r="CK19" s="68">
        <f t="shared" si="2"/>
        <v>707</v>
      </c>
      <c r="CL19" s="68">
        <f t="shared" si="2"/>
        <v>692</v>
      </c>
      <c r="CM19" s="68">
        <f t="shared" si="2"/>
        <v>681</v>
      </c>
      <c r="CN19" s="68">
        <f t="shared" si="2"/>
        <v>673</v>
      </c>
      <c r="CO19" s="68">
        <f t="shared" si="2"/>
        <v>625</v>
      </c>
      <c r="CP19" s="68">
        <f t="shared" si="2"/>
        <v>594</v>
      </c>
      <c r="CQ19" s="68">
        <f t="shared" si="2"/>
        <v>591</v>
      </c>
      <c r="CR19" s="68">
        <f t="shared" si="2"/>
        <v>588</v>
      </c>
      <c r="CS19" s="68">
        <f t="shared" si="2"/>
        <v>580</v>
      </c>
      <c r="CT19" s="68">
        <f t="shared" si="2"/>
        <v>578</v>
      </c>
      <c r="CU19" s="68">
        <f t="shared" si="2"/>
        <v>574</v>
      </c>
      <c r="CV19" s="68">
        <f t="shared" si="2"/>
        <v>571</v>
      </c>
      <c r="CW19" s="68">
        <f t="shared" si="2"/>
        <v>554</v>
      </c>
      <c r="CX19" s="68">
        <f t="shared" si="2"/>
        <v>553</v>
      </c>
      <c r="CY19" s="68">
        <f t="shared" si="2"/>
        <v>548</v>
      </c>
      <c r="CZ19" s="68">
        <f t="shared" si="2"/>
        <v>546</v>
      </c>
      <c r="DA19" s="68">
        <f t="shared" si="2"/>
        <v>543</v>
      </c>
      <c r="DB19" s="68">
        <f t="shared" si="2"/>
        <v>539</v>
      </c>
      <c r="DC19" s="68">
        <f t="shared" si="2"/>
        <v>539</v>
      </c>
      <c r="DD19" s="68">
        <f t="shared" si="2"/>
        <v>531</v>
      </c>
      <c r="DE19" s="68">
        <f t="shared" si="2"/>
        <v>527</v>
      </c>
      <c r="DF19" s="68">
        <f t="shared" si="2"/>
        <v>524</v>
      </c>
      <c r="DG19" s="68">
        <f t="shared" si="2"/>
        <v>520</v>
      </c>
      <c r="DH19" s="68">
        <f t="shared" si="2"/>
        <v>520</v>
      </c>
      <c r="DI19" s="68">
        <f t="shared" si="2"/>
        <v>519</v>
      </c>
      <c r="DJ19" s="68">
        <f t="shared" si="2"/>
        <v>502</v>
      </c>
      <c r="DK19" s="68">
        <f t="shared" si="2"/>
        <v>495</v>
      </c>
      <c r="DL19" s="68">
        <f t="shared" si="2"/>
        <v>492</v>
      </c>
      <c r="DM19" s="68">
        <f t="shared" si="2"/>
        <v>480</v>
      </c>
      <c r="DN19" s="68">
        <f t="shared" si="2"/>
        <v>476</v>
      </c>
      <c r="DO19" s="68">
        <f t="shared" si="2"/>
        <v>469</v>
      </c>
      <c r="DP19" s="68">
        <f t="shared" si="2"/>
        <v>467</v>
      </c>
      <c r="DQ19" s="68">
        <f t="shared" si="2"/>
        <v>464</v>
      </c>
      <c r="DR19" s="68">
        <f t="shared" si="2"/>
        <v>456</v>
      </c>
      <c r="DS19" s="68">
        <f t="shared" si="2"/>
        <v>426</v>
      </c>
      <c r="DT19" s="68">
        <f t="shared" si="2"/>
        <v>421</v>
      </c>
      <c r="DU19" s="68">
        <f t="shared" si="2"/>
        <v>417</v>
      </c>
      <c r="DV19" s="68">
        <f t="shared" si="2"/>
        <v>416</v>
      </c>
      <c r="DW19" s="68">
        <f t="shared" si="2"/>
        <v>412</v>
      </c>
      <c r="DX19" s="68">
        <f t="shared" si="2"/>
        <v>397</v>
      </c>
      <c r="DY19" s="68">
        <f t="shared" si="2"/>
        <v>394</v>
      </c>
      <c r="DZ19" s="68">
        <f t="shared" si="2"/>
        <v>389</v>
      </c>
      <c r="EA19" s="68">
        <f t="shared" si="2"/>
        <v>385</v>
      </c>
      <c r="EB19" s="68">
        <f t="shared" si="2"/>
        <v>384</v>
      </c>
      <c r="EC19" s="68">
        <f t="shared" si="2"/>
        <v>383</v>
      </c>
      <c r="ED19" s="68">
        <f t="shared" si="2"/>
        <v>381</v>
      </c>
      <c r="EE19" s="68">
        <f t="shared" ref="EE19:GP19" si="3">SUM(EE2:EE17)</f>
        <v>380</v>
      </c>
      <c r="EF19" s="68">
        <f t="shared" si="3"/>
        <v>377</v>
      </c>
      <c r="EG19" s="68">
        <f t="shared" si="3"/>
        <v>357</v>
      </c>
      <c r="EH19" s="68">
        <f t="shared" si="3"/>
        <v>350</v>
      </c>
      <c r="EI19" s="68">
        <f t="shared" si="3"/>
        <v>340</v>
      </c>
      <c r="EJ19" s="68">
        <f t="shared" si="3"/>
        <v>337</v>
      </c>
      <c r="EK19" s="68">
        <f t="shared" si="3"/>
        <v>321</v>
      </c>
      <c r="EL19" s="68">
        <f t="shared" si="3"/>
        <v>309</v>
      </c>
      <c r="EM19" s="68">
        <f t="shared" si="3"/>
        <v>309</v>
      </c>
      <c r="EN19" s="68">
        <f t="shared" si="3"/>
        <v>306</v>
      </c>
      <c r="EO19" s="68">
        <f t="shared" si="3"/>
        <v>302</v>
      </c>
      <c r="EP19" s="68">
        <f t="shared" si="3"/>
        <v>300</v>
      </c>
      <c r="EQ19" s="68">
        <f t="shared" si="3"/>
        <v>298</v>
      </c>
      <c r="ER19" s="68">
        <f t="shared" si="3"/>
        <v>295</v>
      </c>
      <c r="ES19" s="68">
        <f t="shared" si="3"/>
        <v>294</v>
      </c>
      <c r="ET19" s="68">
        <f t="shared" si="3"/>
        <v>291</v>
      </c>
      <c r="EU19" s="68">
        <f t="shared" si="3"/>
        <v>290</v>
      </c>
      <c r="EV19" s="68">
        <f t="shared" si="3"/>
        <v>282</v>
      </c>
      <c r="EW19" s="68">
        <f t="shared" si="3"/>
        <v>280</v>
      </c>
      <c r="EX19" s="68">
        <f t="shared" si="3"/>
        <v>275</v>
      </c>
      <c r="EY19" s="68">
        <f t="shared" si="3"/>
        <v>270</v>
      </c>
      <c r="EZ19" s="68">
        <f t="shared" si="3"/>
        <v>266</v>
      </c>
      <c r="FA19" s="68">
        <f t="shared" si="3"/>
        <v>258</v>
      </c>
      <c r="FB19" s="68">
        <f t="shared" si="3"/>
        <v>252</v>
      </c>
      <c r="FC19" s="68">
        <f t="shared" si="3"/>
        <v>252</v>
      </c>
      <c r="FD19" s="68">
        <f t="shared" si="3"/>
        <v>251</v>
      </c>
      <c r="FE19" s="68">
        <f t="shared" si="3"/>
        <v>250</v>
      </c>
      <c r="FF19" s="68">
        <f t="shared" si="3"/>
        <v>249</v>
      </c>
      <c r="FG19" s="68">
        <f t="shared" si="3"/>
        <v>248</v>
      </c>
      <c r="FH19" s="68">
        <f t="shared" si="3"/>
        <v>238</v>
      </c>
      <c r="FI19" s="68">
        <f t="shared" si="3"/>
        <v>237</v>
      </c>
      <c r="FJ19" s="68">
        <f t="shared" si="3"/>
        <v>236</v>
      </c>
      <c r="FK19" s="68">
        <f t="shared" si="3"/>
        <v>230</v>
      </c>
      <c r="FL19" s="68">
        <f t="shared" si="3"/>
        <v>229</v>
      </c>
      <c r="FM19" s="68">
        <f t="shared" si="3"/>
        <v>228</v>
      </c>
      <c r="FN19" s="68">
        <f t="shared" si="3"/>
        <v>224</v>
      </c>
      <c r="FO19" s="68">
        <f t="shared" si="3"/>
        <v>224</v>
      </c>
      <c r="FP19" s="68">
        <f t="shared" si="3"/>
        <v>223</v>
      </c>
      <c r="FQ19" s="68">
        <f t="shared" si="3"/>
        <v>222</v>
      </c>
      <c r="FR19" s="68">
        <f t="shared" si="3"/>
        <v>216</v>
      </c>
      <c r="FS19" s="68">
        <f t="shared" si="3"/>
        <v>214</v>
      </c>
      <c r="FT19" s="68">
        <f t="shared" si="3"/>
        <v>212</v>
      </c>
      <c r="FU19" s="68">
        <f t="shared" si="3"/>
        <v>211</v>
      </c>
      <c r="FV19" s="68">
        <f t="shared" si="3"/>
        <v>207</v>
      </c>
      <c r="FW19" s="68">
        <f t="shared" si="3"/>
        <v>207</v>
      </c>
      <c r="FX19" s="68">
        <f t="shared" si="3"/>
        <v>202</v>
      </c>
      <c r="FY19" s="68">
        <f t="shared" si="3"/>
        <v>201</v>
      </c>
      <c r="FZ19" s="68">
        <f t="shared" si="3"/>
        <v>201</v>
      </c>
      <c r="GA19" s="68">
        <f t="shared" si="3"/>
        <v>199</v>
      </c>
      <c r="GB19" s="68">
        <f t="shared" si="3"/>
        <v>198</v>
      </c>
      <c r="GC19" s="68">
        <f t="shared" si="3"/>
        <v>198</v>
      </c>
      <c r="GD19" s="68">
        <f t="shared" si="3"/>
        <v>196</v>
      </c>
      <c r="GE19" s="68">
        <f t="shared" si="3"/>
        <v>195</v>
      </c>
      <c r="GF19" s="68">
        <f t="shared" si="3"/>
        <v>188</v>
      </c>
      <c r="GG19" s="68">
        <f t="shared" si="3"/>
        <v>188</v>
      </c>
      <c r="GH19" s="68">
        <f t="shared" si="3"/>
        <v>187</v>
      </c>
      <c r="GI19" s="68">
        <f t="shared" si="3"/>
        <v>186</v>
      </c>
      <c r="GJ19" s="68">
        <f t="shared" si="3"/>
        <v>184</v>
      </c>
      <c r="GK19" s="68">
        <f t="shared" si="3"/>
        <v>181</v>
      </c>
      <c r="GL19" s="68">
        <f t="shared" si="3"/>
        <v>176</v>
      </c>
      <c r="GM19" s="68">
        <f t="shared" si="3"/>
        <v>175</v>
      </c>
      <c r="GN19" s="68">
        <f t="shared" si="3"/>
        <v>173</v>
      </c>
      <c r="GO19" s="68">
        <f t="shared" si="3"/>
        <v>173</v>
      </c>
      <c r="GP19" s="68">
        <f t="shared" si="3"/>
        <v>168</v>
      </c>
      <c r="GQ19" s="68">
        <f t="shared" ref="GQ19:JB19" si="4">SUM(GQ2:GQ17)</f>
        <v>166</v>
      </c>
      <c r="GR19" s="68">
        <f t="shared" si="4"/>
        <v>165</v>
      </c>
      <c r="GS19" s="68">
        <f t="shared" si="4"/>
        <v>164</v>
      </c>
      <c r="GT19" s="68">
        <f t="shared" si="4"/>
        <v>160</v>
      </c>
      <c r="GU19" s="68">
        <f t="shared" si="4"/>
        <v>160</v>
      </c>
      <c r="GV19" s="68">
        <f t="shared" si="4"/>
        <v>159</v>
      </c>
      <c r="GW19" s="68">
        <f t="shared" si="4"/>
        <v>159</v>
      </c>
      <c r="GX19" s="68">
        <f t="shared" si="4"/>
        <v>158</v>
      </c>
      <c r="GY19" s="68">
        <f t="shared" si="4"/>
        <v>155</v>
      </c>
      <c r="GZ19" s="68">
        <f t="shared" si="4"/>
        <v>154</v>
      </c>
      <c r="HA19" s="68">
        <f t="shared" si="4"/>
        <v>153</v>
      </c>
      <c r="HB19" s="68">
        <f t="shared" si="4"/>
        <v>152</v>
      </c>
      <c r="HC19" s="68">
        <f t="shared" si="4"/>
        <v>151</v>
      </c>
      <c r="HD19" s="68">
        <f t="shared" si="4"/>
        <v>150</v>
      </c>
      <c r="HE19" s="68">
        <f t="shared" si="4"/>
        <v>148</v>
      </c>
      <c r="HF19" s="68">
        <f t="shared" si="4"/>
        <v>148</v>
      </c>
      <c r="HG19" s="68">
        <f t="shared" si="4"/>
        <v>148</v>
      </c>
      <c r="HH19" s="68">
        <f t="shared" si="4"/>
        <v>144</v>
      </c>
      <c r="HI19" s="68">
        <f t="shared" si="4"/>
        <v>144</v>
      </c>
      <c r="HJ19" s="68">
        <f t="shared" si="4"/>
        <v>144</v>
      </c>
      <c r="HK19" s="68">
        <f t="shared" si="4"/>
        <v>142</v>
      </c>
      <c r="HL19" s="68">
        <f t="shared" si="4"/>
        <v>141</v>
      </c>
      <c r="HM19" s="68">
        <f t="shared" si="4"/>
        <v>139</v>
      </c>
      <c r="HN19" s="68">
        <f t="shared" si="4"/>
        <v>138</v>
      </c>
      <c r="HO19" s="68">
        <f t="shared" si="4"/>
        <v>138</v>
      </c>
      <c r="HP19" s="68">
        <f t="shared" si="4"/>
        <v>136</v>
      </c>
      <c r="HQ19" s="68">
        <f t="shared" si="4"/>
        <v>136</v>
      </c>
      <c r="HR19" s="68">
        <f t="shared" si="4"/>
        <v>132</v>
      </c>
      <c r="HS19" s="68">
        <f t="shared" si="4"/>
        <v>132</v>
      </c>
      <c r="HT19" s="68">
        <f t="shared" si="4"/>
        <v>131</v>
      </c>
      <c r="HU19" s="68">
        <f t="shared" si="4"/>
        <v>128</v>
      </c>
      <c r="HV19" s="68">
        <f t="shared" si="4"/>
        <v>126</v>
      </c>
      <c r="HW19" s="68">
        <f t="shared" si="4"/>
        <v>124</v>
      </c>
      <c r="HX19" s="68">
        <f t="shared" si="4"/>
        <v>123</v>
      </c>
      <c r="HY19" s="68">
        <f t="shared" si="4"/>
        <v>121</v>
      </c>
      <c r="HZ19" s="68">
        <f t="shared" si="4"/>
        <v>120</v>
      </c>
      <c r="IA19" s="68">
        <f t="shared" si="4"/>
        <v>118</v>
      </c>
      <c r="IB19" s="68">
        <f t="shared" si="4"/>
        <v>117</v>
      </c>
      <c r="IC19" s="68">
        <f t="shared" si="4"/>
        <v>116</v>
      </c>
      <c r="ID19" s="68">
        <f t="shared" si="4"/>
        <v>115</v>
      </c>
      <c r="IE19" s="68">
        <f t="shared" si="4"/>
        <v>115</v>
      </c>
      <c r="IF19" s="68">
        <f t="shared" si="4"/>
        <v>114</v>
      </c>
      <c r="IG19" s="68">
        <f t="shared" si="4"/>
        <v>112</v>
      </c>
      <c r="IH19" s="68">
        <f t="shared" si="4"/>
        <v>111</v>
      </c>
      <c r="II19" s="68">
        <f t="shared" si="4"/>
        <v>111</v>
      </c>
      <c r="IJ19" s="68">
        <f t="shared" si="4"/>
        <v>110</v>
      </c>
      <c r="IK19" s="68">
        <f t="shared" si="4"/>
        <v>109</v>
      </c>
      <c r="IL19" s="68">
        <f t="shared" si="4"/>
        <v>108</v>
      </c>
      <c r="IM19" s="68">
        <f t="shared" si="4"/>
        <v>107</v>
      </c>
      <c r="IN19" s="68">
        <f t="shared" si="4"/>
        <v>107</v>
      </c>
      <c r="IO19" s="68">
        <f t="shared" si="4"/>
        <v>105</v>
      </c>
      <c r="IP19" s="68">
        <f t="shared" si="4"/>
        <v>103</v>
      </c>
      <c r="IQ19" s="68">
        <f t="shared" si="4"/>
        <v>102</v>
      </c>
      <c r="IR19" s="68">
        <f t="shared" si="4"/>
        <v>102</v>
      </c>
      <c r="IS19" s="68">
        <f t="shared" si="4"/>
        <v>102</v>
      </c>
      <c r="IT19" s="68">
        <f t="shared" si="4"/>
        <v>102</v>
      </c>
      <c r="IU19" s="68">
        <f t="shared" si="4"/>
        <v>100</v>
      </c>
      <c r="IV19" s="68">
        <f t="shared" si="4"/>
        <v>99</v>
      </c>
      <c r="IW19" s="68">
        <f t="shared" si="4"/>
        <v>98</v>
      </c>
      <c r="IX19" s="68">
        <f t="shared" si="4"/>
        <v>97</v>
      </c>
      <c r="IY19" s="68">
        <f t="shared" si="4"/>
        <v>96</v>
      </c>
      <c r="IZ19" s="68">
        <f t="shared" si="4"/>
        <v>94</v>
      </c>
      <c r="JA19" s="68">
        <f t="shared" si="4"/>
        <v>92</v>
      </c>
      <c r="JB19" s="68">
        <f t="shared" si="4"/>
        <v>92</v>
      </c>
      <c r="JC19" s="68">
        <f t="shared" ref="JC19:LN19" si="5">SUM(JC2:JC17)</f>
        <v>90</v>
      </c>
      <c r="JD19" s="68">
        <f t="shared" si="5"/>
        <v>90</v>
      </c>
      <c r="JE19" s="68">
        <f t="shared" si="5"/>
        <v>88</v>
      </c>
      <c r="JF19" s="68">
        <f t="shared" si="5"/>
        <v>87</v>
      </c>
      <c r="JG19" s="68">
        <f t="shared" si="5"/>
        <v>85</v>
      </c>
      <c r="JH19" s="68">
        <f t="shared" si="5"/>
        <v>85</v>
      </c>
      <c r="JI19" s="68">
        <f t="shared" si="5"/>
        <v>84</v>
      </c>
      <c r="JJ19" s="68">
        <f t="shared" si="5"/>
        <v>84</v>
      </c>
      <c r="JK19" s="68">
        <f t="shared" si="5"/>
        <v>83</v>
      </c>
      <c r="JL19" s="68">
        <f t="shared" si="5"/>
        <v>82</v>
      </c>
      <c r="JM19" s="68">
        <f t="shared" si="5"/>
        <v>82</v>
      </c>
      <c r="JN19" s="68">
        <f t="shared" si="5"/>
        <v>81</v>
      </c>
      <c r="JO19" s="68">
        <f t="shared" si="5"/>
        <v>80</v>
      </c>
      <c r="JP19" s="68">
        <f t="shared" si="5"/>
        <v>80</v>
      </c>
      <c r="JQ19" s="68">
        <f t="shared" si="5"/>
        <v>79</v>
      </c>
      <c r="JR19" s="68">
        <f t="shared" si="5"/>
        <v>79</v>
      </c>
      <c r="JS19" s="68">
        <f t="shared" si="5"/>
        <v>78</v>
      </c>
      <c r="JT19" s="68">
        <f t="shared" si="5"/>
        <v>78</v>
      </c>
      <c r="JU19" s="68">
        <f t="shared" si="5"/>
        <v>78</v>
      </c>
      <c r="JV19" s="68">
        <f t="shared" si="5"/>
        <v>78</v>
      </c>
      <c r="JW19" s="68">
        <f t="shared" si="5"/>
        <v>77</v>
      </c>
      <c r="JX19" s="68">
        <f t="shared" si="5"/>
        <v>76</v>
      </c>
      <c r="JY19" s="68">
        <f t="shared" si="5"/>
        <v>76</v>
      </c>
      <c r="JZ19" s="68">
        <f t="shared" si="5"/>
        <v>76</v>
      </c>
      <c r="KA19" s="68">
        <f t="shared" si="5"/>
        <v>75</v>
      </c>
      <c r="KB19" s="68">
        <f t="shared" si="5"/>
        <v>74</v>
      </c>
      <c r="KC19" s="68">
        <f t="shared" si="5"/>
        <v>74</v>
      </c>
      <c r="KD19" s="68">
        <f t="shared" si="5"/>
        <v>74</v>
      </c>
      <c r="KE19" s="68">
        <f t="shared" si="5"/>
        <v>73</v>
      </c>
      <c r="KF19" s="68">
        <f t="shared" si="5"/>
        <v>73</v>
      </c>
      <c r="KG19" s="68">
        <f t="shared" si="5"/>
        <v>73</v>
      </c>
      <c r="KH19" s="68">
        <f t="shared" si="5"/>
        <v>73</v>
      </c>
      <c r="KI19" s="68">
        <f t="shared" si="5"/>
        <v>72</v>
      </c>
      <c r="KJ19" s="68">
        <f t="shared" si="5"/>
        <v>72</v>
      </c>
      <c r="KK19" s="68">
        <f t="shared" si="5"/>
        <v>72</v>
      </c>
      <c r="KL19" s="68">
        <f t="shared" si="5"/>
        <v>72</v>
      </c>
      <c r="KM19" s="68">
        <f t="shared" si="5"/>
        <v>71</v>
      </c>
      <c r="KN19" s="68">
        <f t="shared" si="5"/>
        <v>71</v>
      </c>
      <c r="KO19" s="68">
        <f t="shared" si="5"/>
        <v>71</v>
      </c>
      <c r="KP19" s="68">
        <f t="shared" si="5"/>
        <v>71</v>
      </c>
      <c r="KQ19" s="68">
        <f t="shared" si="5"/>
        <v>70</v>
      </c>
      <c r="KR19" s="68">
        <f t="shared" si="5"/>
        <v>70</v>
      </c>
      <c r="KS19" s="68">
        <f t="shared" si="5"/>
        <v>70</v>
      </c>
      <c r="KT19" s="68">
        <f t="shared" si="5"/>
        <v>70</v>
      </c>
      <c r="KU19" s="68">
        <f t="shared" si="5"/>
        <v>70</v>
      </c>
      <c r="KV19" s="68">
        <f t="shared" si="5"/>
        <v>69</v>
      </c>
      <c r="KW19" s="68">
        <f t="shared" si="5"/>
        <v>69</v>
      </c>
      <c r="KX19" s="68">
        <f t="shared" si="5"/>
        <v>68</v>
      </c>
      <c r="KY19" s="68">
        <f t="shared" si="5"/>
        <v>68</v>
      </c>
      <c r="KZ19" s="68">
        <f t="shared" si="5"/>
        <v>67</v>
      </c>
      <c r="LA19" s="68">
        <f t="shared" si="5"/>
        <v>67</v>
      </c>
      <c r="LB19" s="68">
        <f t="shared" si="5"/>
        <v>67</v>
      </c>
      <c r="LC19" s="68">
        <f t="shared" si="5"/>
        <v>66</v>
      </c>
      <c r="LD19" s="68">
        <f t="shared" si="5"/>
        <v>66</v>
      </c>
      <c r="LE19" s="68">
        <f t="shared" si="5"/>
        <v>65</v>
      </c>
      <c r="LF19" s="68">
        <f t="shared" si="5"/>
        <v>65</v>
      </c>
      <c r="LG19" s="68">
        <f t="shared" si="5"/>
        <v>65</v>
      </c>
      <c r="LH19" s="68">
        <f t="shared" si="5"/>
        <v>65</v>
      </c>
      <c r="LI19" s="68">
        <f t="shared" si="5"/>
        <v>65</v>
      </c>
      <c r="LJ19" s="68">
        <f t="shared" si="5"/>
        <v>64</v>
      </c>
      <c r="LK19" s="68">
        <f t="shared" si="5"/>
        <v>62</v>
      </c>
      <c r="LL19" s="68">
        <f t="shared" si="5"/>
        <v>61</v>
      </c>
      <c r="LM19" s="68">
        <f t="shared" si="5"/>
        <v>60</v>
      </c>
      <c r="LN19" s="68">
        <f t="shared" si="5"/>
        <v>60</v>
      </c>
      <c r="LO19" s="68">
        <f t="shared" ref="LO19:NZ19" si="6">SUM(LO2:LO17)</f>
        <v>60</v>
      </c>
      <c r="LP19" s="68">
        <f t="shared" si="6"/>
        <v>60</v>
      </c>
      <c r="LQ19" s="68">
        <f t="shared" si="6"/>
        <v>60</v>
      </c>
      <c r="LR19" s="68">
        <f t="shared" si="6"/>
        <v>59</v>
      </c>
      <c r="LS19" s="68">
        <f t="shared" si="6"/>
        <v>59</v>
      </c>
      <c r="LT19" s="68">
        <f t="shared" si="6"/>
        <v>59</v>
      </c>
      <c r="LU19" s="68">
        <f t="shared" si="6"/>
        <v>58</v>
      </c>
      <c r="LV19" s="68">
        <f t="shared" si="6"/>
        <v>58</v>
      </c>
      <c r="LW19" s="68">
        <f t="shared" si="6"/>
        <v>58</v>
      </c>
      <c r="LX19" s="68">
        <f t="shared" si="6"/>
        <v>58</v>
      </c>
      <c r="LY19" s="68">
        <f t="shared" si="6"/>
        <v>58</v>
      </c>
      <c r="LZ19" s="68">
        <f t="shared" si="6"/>
        <v>57</v>
      </c>
      <c r="MA19" s="68">
        <f t="shared" si="6"/>
        <v>56</v>
      </c>
      <c r="MB19" s="68">
        <f t="shared" si="6"/>
        <v>56</v>
      </c>
      <c r="MC19" s="68">
        <f t="shared" si="6"/>
        <v>54</v>
      </c>
      <c r="MD19" s="68">
        <f t="shared" si="6"/>
        <v>53</v>
      </c>
      <c r="ME19" s="68">
        <f t="shared" si="6"/>
        <v>53</v>
      </c>
      <c r="MF19" s="68">
        <f t="shared" si="6"/>
        <v>53</v>
      </c>
      <c r="MG19" s="68">
        <f t="shared" si="6"/>
        <v>53</v>
      </c>
      <c r="MH19" s="68">
        <f t="shared" si="6"/>
        <v>52</v>
      </c>
      <c r="MI19" s="68">
        <f t="shared" si="6"/>
        <v>51</v>
      </c>
      <c r="MJ19" s="68">
        <f t="shared" si="6"/>
        <v>50</v>
      </c>
      <c r="MK19" s="68">
        <f t="shared" si="6"/>
        <v>50</v>
      </c>
      <c r="ML19" s="68">
        <f t="shared" si="6"/>
        <v>49</v>
      </c>
      <c r="MM19" s="68">
        <f t="shared" si="6"/>
        <v>49</v>
      </c>
      <c r="MN19" s="68">
        <f t="shared" si="6"/>
        <v>48</v>
      </c>
      <c r="MO19" s="68">
        <f t="shared" si="6"/>
        <v>48</v>
      </c>
      <c r="MP19" s="68">
        <f t="shared" si="6"/>
        <v>48</v>
      </c>
      <c r="MQ19" s="68">
        <f t="shared" si="6"/>
        <v>48</v>
      </c>
      <c r="MR19" s="68">
        <f t="shared" si="6"/>
        <v>47</v>
      </c>
      <c r="MS19" s="68">
        <f t="shared" si="6"/>
        <v>46</v>
      </c>
      <c r="MT19" s="68">
        <f t="shared" si="6"/>
        <v>46</v>
      </c>
      <c r="MU19" s="68">
        <f t="shared" si="6"/>
        <v>45</v>
      </c>
      <c r="MV19" s="68">
        <f t="shared" si="6"/>
        <v>45</v>
      </c>
      <c r="MW19" s="68">
        <f t="shared" si="6"/>
        <v>45</v>
      </c>
      <c r="MX19" s="68">
        <f t="shared" si="6"/>
        <v>45</v>
      </c>
      <c r="MY19" s="68">
        <f t="shared" si="6"/>
        <v>45</v>
      </c>
      <c r="MZ19" s="68">
        <f t="shared" si="6"/>
        <v>45</v>
      </c>
      <c r="NA19" s="68">
        <f t="shared" si="6"/>
        <v>45</v>
      </c>
      <c r="NB19" s="68">
        <f t="shared" si="6"/>
        <v>45</v>
      </c>
      <c r="NC19" s="68">
        <f t="shared" si="6"/>
        <v>45</v>
      </c>
      <c r="ND19" s="68">
        <f t="shared" si="6"/>
        <v>44</v>
      </c>
      <c r="NE19" s="68">
        <f t="shared" si="6"/>
        <v>44</v>
      </c>
      <c r="NF19" s="68">
        <f t="shared" si="6"/>
        <v>44</v>
      </c>
      <c r="NG19" s="68">
        <f t="shared" si="6"/>
        <v>44</v>
      </c>
      <c r="NH19" s="68">
        <f t="shared" si="6"/>
        <v>44</v>
      </c>
      <c r="NI19" s="68">
        <f t="shared" si="6"/>
        <v>44</v>
      </c>
      <c r="NJ19" s="68">
        <f t="shared" si="6"/>
        <v>44</v>
      </c>
      <c r="NK19" s="68">
        <f t="shared" si="6"/>
        <v>44</v>
      </c>
      <c r="NL19" s="68">
        <f t="shared" si="6"/>
        <v>43</v>
      </c>
      <c r="NM19" s="68">
        <f t="shared" si="6"/>
        <v>43</v>
      </c>
      <c r="NN19" s="68">
        <f t="shared" si="6"/>
        <v>43</v>
      </c>
      <c r="NO19" s="68">
        <f t="shared" si="6"/>
        <v>42</v>
      </c>
      <c r="NP19" s="68">
        <f t="shared" si="6"/>
        <v>42</v>
      </c>
      <c r="NQ19" s="68">
        <f t="shared" si="6"/>
        <v>41</v>
      </c>
      <c r="NR19" s="68">
        <f t="shared" si="6"/>
        <v>41</v>
      </c>
      <c r="NS19" s="68">
        <f t="shared" si="6"/>
        <v>41</v>
      </c>
      <c r="NT19" s="68">
        <f t="shared" si="6"/>
        <v>40</v>
      </c>
      <c r="NU19" s="68">
        <f t="shared" si="6"/>
        <v>40</v>
      </c>
      <c r="NV19" s="68">
        <f t="shared" si="6"/>
        <v>40</v>
      </c>
      <c r="NW19" s="68">
        <f t="shared" si="6"/>
        <v>40</v>
      </c>
      <c r="NX19" s="68">
        <f t="shared" si="6"/>
        <v>40</v>
      </c>
      <c r="NY19" s="68">
        <f t="shared" si="6"/>
        <v>40</v>
      </c>
      <c r="NZ19" s="68">
        <f t="shared" si="6"/>
        <v>39</v>
      </c>
      <c r="OA19" s="68">
        <f t="shared" ref="OA19:QL19" si="7">SUM(OA2:OA17)</f>
        <v>39</v>
      </c>
      <c r="OB19" s="68">
        <f t="shared" si="7"/>
        <v>39</v>
      </c>
      <c r="OC19" s="68">
        <f t="shared" si="7"/>
        <v>39</v>
      </c>
      <c r="OD19" s="68">
        <f t="shared" si="7"/>
        <v>38</v>
      </c>
      <c r="OE19" s="68">
        <f t="shared" si="7"/>
        <v>38</v>
      </c>
      <c r="OF19" s="68">
        <f t="shared" si="7"/>
        <v>38</v>
      </c>
      <c r="OG19" s="68">
        <f t="shared" si="7"/>
        <v>38</v>
      </c>
      <c r="OH19" s="68">
        <f t="shared" si="7"/>
        <v>38</v>
      </c>
      <c r="OI19" s="68">
        <f t="shared" si="7"/>
        <v>37</v>
      </c>
      <c r="OJ19" s="68">
        <f t="shared" si="7"/>
        <v>37</v>
      </c>
      <c r="OK19" s="68">
        <f t="shared" si="7"/>
        <v>36</v>
      </c>
      <c r="OL19" s="68">
        <f t="shared" si="7"/>
        <v>36</v>
      </c>
      <c r="OM19" s="68">
        <f t="shared" si="7"/>
        <v>35</v>
      </c>
      <c r="ON19" s="68">
        <f t="shared" si="7"/>
        <v>35</v>
      </c>
      <c r="OO19" s="68">
        <f t="shared" si="7"/>
        <v>35</v>
      </c>
      <c r="OP19" s="68">
        <f t="shared" si="7"/>
        <v>35</v>
      </c>
      <c r="OQ19" s="68">
        <f t="shared" si="7"/>
        <v>35</v>
      </c>
      <c r="OR19" s="68">
        <f t="shared" si="7"/>
        <v>35</v>
      </c>
      <c r="OS19" s="68">
        <f t="shared" si="7"/>
        <v>35</v>
      </c>
      <c r="OT19" s="68">
        <f t="shared" si="7"/>
        <v>33</v>
      </c>
      <c r="OU19" s="68">
        <f t="shared" si="7"/>
        <v>33</v>
      </c>
      <c r="OV19" s="68">
        <f t="shared" si="7"/>
        <v>33</v>
      </c>
      <c r="OW19" s="68">
        <f t="shared" si="7"/>
        <v>33</v>
      </c>
      <c r="OX19" s="68">
        <f t="shared" si="7"/>
        <v>33</v>
      </c>
      <c r="OY19" s="68">
        <f t="shared" si="7"/>
        <v>33</v>
      </c>
      <c r="OZ19" s="68">
        <f t="shared" si="7"/>
        <v>33</v>
      </c>
      <c r="PA19" s="68">
        <f t="shared" si="7"/>
        <v>33</v>
      </c>
      <c r="PB19" s="68">
        <f t="shared" si="7"/>
        <v>33</v>
      </c>
      <c r="PC19" s="68">
        <f t="shared" si="7"/>
        <v>32</v>
      </c>
      <c r="PD19" s="68">
        <f t="shared" si="7"/>
        <v>32</v>
      </c>
      <c r="PE19" s="68">
        <f t="shared" si="7"/>
        <v>32</v>
      </c>
      <c r="PF19" s="68">
        <f t="shared" si="7"/>
        <v>32</v>
      </c>
      <c r="PG19" s="68">
        <f t="shared" si="7"/>
        <v>32</v>
      </c>
      <c r="PH19" s="68">
        <f t="shared" si="7"/>
        <v>32</v>
      </c>
      <c r="PI19" s="68">
        <f t="shared" si="7"/>
        <v>31</v>
      </c>
      <c r="PJ19" s="68">
        <f t="shared" si="7"/>
        <v>31</v>
      </c>
      <c r="PK19" s="68">
        <f t="shared" si="7"/>
        <v>31</v>
      </c>
      <c r="PL19" s="68">
        <f t="shared" si="7"/>
        <v>31</v>
      </c>
      <c r="PM19" s="68">
        <f t="shared" si="7"/>
        <v>31</v>
      </c>
      <c r="PN19" s="68">
        <f t="shared" si="7"/>
        <v>31</v>
      </c>
      <c r="PO19" s="68">
        <f t="shared" si="7"/>
        <v>31</v>
      </c>
      <c r="PP19" s="68">
        <f t="shared" si="7"/>
        <v>31</v>
      </c>
      <c r="PQ19" s="68">
        <f t="shared" si="7"/>
        <v>30</v>
      </c>
      <c r="PR19" s="68">
        <f t="shared" si="7"/>
        <v>30</v>
      </c>
      <c r="PS19" s="68">
        <f t="shared" si="7"/>
        <v>30</v>
      </c>
      <c r="PT19" s="68">
        <f t="shared" si="7"/>
        <v>29</v>
      </c>
      <c r="PU19" s="68">
        <f t="shared" si="7"/>
        <v>29</v>
      </c>
      <c r="PV19" s="68">
        <f t="shared" si="7"/>
        <v>29</v>
      </c>
      <c r="PW19" s="68">
        <f t="shared" si="7"/>
        <v>29</v>
      </c>
      <c r="PX19" s="68">
        <f t="shared" si="7"/>
        <v>29</v>
      </c>
      <c r="PY19" s="68">
        <f t="shared" si="7"/>
        <v>28</v>
      </c>
      <c r="PZ19" s="68">
        <f t="shared" si="7"/>
        <v>28</v>
      </c>
      <c r="QA19" s="68">
        <f t="shared" si="7"/>
        <v>28</v>
      </c>
      <c r="QB19" s="68">
        <f t="shared" si="7"/>
        <v>28</v>
      </c>
      <c r="QC19" s="68">
        <f t="shared" si="7"/>
        <v>28</v>
      </c>
      <c r="QD19" s="68">
        <f t="shared" si="7"/>
        <v>28</v>
      </c>
      <c r="QE19" s="68">
        <f t="shared" si="7"/>
        <v>28</v>
      </c>
      <c r="QF19" s="68">
        <f t="shared" si="7"/>
        <v>28</v>
      </c>
      <c r="QG19" s="68">
        <f t="shared" si="7"/>
        <v>28</v>
      </c>
      <c r="QH19" s="68">
        <f t="shared" si="7"/>
        <v>28</v>
      </c>
      <c r="QI19" s="68">
        <f t="shared" si="7"/>
        <v>28</v>
      </c>
      <c r="QJ19" s="68">
        <f t="shared" si="7"/>
        <v>28</v>
      </c>
      <c r="QK19" s="68">
        <f t="shared" si="7"/>
        <v>27</v>
      </c>
      <c r="QL19" s="68">
        <f t="shared" si="7"/>
        <v>27</v>
      </c>
      <c r="QM19" s="68">
        <f t="shared" ref="QM19:SX19" si="8">SUM(QM2:QM17)</f>
        <v>27</v>
      </c>
      <c r="QN19" s="68">
        <f t="shared" si="8"/>
        <v>27</v>
      </c>
      <c r="QO19" s="68">
        <f t="shared" si="8"/>
        <v>27</v>
      </c>
      <c r="QP19" s="68">
        <f t="shared" si="8"/>
        <v>27</v>
      </c>
      <c r="QQ19" s="68">
        <f t="shared" si="8"/>
        <v>27</v>
      </c>
      <c r="QR19" s="68">
        <f t="shared" si="8"/>
        <v>26</v>
      </c>
      <c r="QS19" s="68">
        <f t="shared" si="8"/>
        <v>26</v>
      </c>
      <c r="QT19" s="68">
        <f t="shared" si="8"/>
        <v>26</v>
      </c>
      <c r="QU19" s="68">
        <f t="shared" si="8"/>
        <v>26</v>
      </c>
      <c r="QV19" s="68">
        <f t="shared" si="8"/>
        <v>26</v>
      </c>
      <c r="QW19" s="68">
        <f t="shared" si="8"/>
        <v>25</v>
      </c>
      <c r="QX19" s="68">
        <f t="shared" si="8"/>
        <v>25</v>
      </c>
      <c r="QY19" s="68">
        <f t="shared" si="8"/>
        <v>24</v>
      </c>
      <c r="QZ19" s="68">
        <f t="shared" si="8"/>
        <v>24</v>
      </c>
      <c r="RA19" s="68">
        <f t="shared" si="8"/>
        <v>24</v>
      </c>
      <c r="RB19" s="68">
        <f t="shared" si="8"/>
        <v>24</v>
      </c>
      <c r="RC19" s="68">
        <f t="shared" si="8"/>
        <v>23</v>
      </c>
      <c r="RD19" s="68">
        <f t="shared" si="8"/>
        <v>23</v>
      </c>
      <c r="RE19" s="68">
        <f t="shared" si="8"/>
        <v>23</v>
      </c>
      <c r="RF19" s="68">
        <f t="shared" si="8"/>
        <v>23</v>
      </c>
      <c r="RG19" s="68">
        <f t="shared" si="8"/>
        <v>23</v>
      </c>
      <c r="RH19" s="68">
        <f t="shared" si="8"/>
        <v>23</v>
      </c>
      <c r="RI19" s="68">
        <f t="shared" si="8"/>
        <v>23</v>
      </c>
      <c r="RJ19" s="68">
        <f t="shared" si="8"/>
        <v>23</v>
      </c>
      <c r="RK19" s="68">
        <f t="shared" si="8"/>
        <v>23</v>
      </c>
      <c r="RL19" s="68">
        <f t="shared" si="8"/>
        <v>22</v>
      </c>
      <c r="RM19" s="68">
        <f t="shared" si="8"/>
        <v>22</v>
      </c>
      <c r="RN19" s="68">
        <f t="shared" si="8"/>
        <v>22</v>
      </c>
      <c r="RO19" s="68">
        <f t="shared" si="8"/>
        <v>22</v>
      </c>
      <c r="RP19" s="68">
        <f t="shared" si="8"/>
        <v>22</v>
      </c>
      <c r="RQ19" s="68">
        <f t="shared" si="8"/>
        <v>22</v>
      </c>
      <c r="RR19" s="68">
        <f t="shared" si="8"/>
        <v>22</v>
      </c>
      <c r="RS19" s="68">
        <f t="shared" si="8"/>
        <v>22</v>
      </c>
      <c r="RT19" s="68">
        <f t="shared" si="8"/>
        <v>22</v>
      </c>
      <c r="RU19" s="68">
        <f t="shared" si="8"/>
        <v>21</v>
      </c>
      <c r="RV19" s="68">
        <f t="shared" si="8"/>
        <v>21</v>
      </c>
      <c r="RW19" s="68">
        <f t="shared" si="8"/>
        <v>21</v>
      </c>
      <c r="RX19" s="68">
        <f t="shared" si="8"/>
        <v>21</v>
      </c>
      <c r="RY19" s="68">
        <f t="shared" si="8"/>
        <v>21</v>
      </c>
      <c r="RZ19" s="68">
        <f t="shared" si="8"/>
        <v>21</v>
      </c>
      <c r="SA19" s="68">
        <f t="shared" si="8"/>
        <v>21</v>
      </c>
      <c r="SB19" s="68">
        <f t="shared" si="8"/>
        <v>20</v>
      </c>
      <c r="SC19" s="68">
        <f t="shared" si="8"/>
        <v>20</v>
      </c>
      <c r="SD19" s="68">
        <f t="shared" si="8"/>
        <v>20</v>
      </c>
      <c r="SE19" s="68">
        <f t="shared" si="8"/>
        <v>20</v>
      </c>
      <c r="SF19" s="68">
        <f t="shared" si="8"/>
        <v>20</v>
      </c>
      <c r="SG19" s="68">
        <f t="shared" si="8"/>
        <v>20</v>
      </c>
      <c r="SH19" s="68">
        <f t="shared" si="8"/>
        <v>20</v>
      </c>
      <c r="SI19" s="68">
        <f t="shared" si="8"/>
        <v>20</v>
      </c>
      <c r="SJ19" s="68">
        <f t="shared" si="8"/>
        <v>20</v>
      </c>
      <c r="SK19" s="68">
        <f t="shared" si="8"/>
        <v>19</v>
      </c>
      <c r="SL19" s="68">
        <f t="shared" si="8"/>
        <v>19</v>
      </c>
      <c r="SM19" s="68">
        <f t="shared" si="8"/>
        <v>19</v>
      </c>
      <c r="SN19" s="68">
        <f t="shared" si="8"/>
        <v>19</v>
      </c>
      <c r="SO19" s="68">
        <f t="shared" si="8"/>
        <v>19</v>
      </c>
      <c r="SP19" s="68">
        <f t="shared" si="8"/>
        <v>19</v>
      </c>
      <c r="SQ19" s="68">
        <f t="shared" si="8"/>
        <v>19</v>
      </c>
      <c r="SR19" s="68">
        <f t="shared" si="8"/>
        <v>19</v>
      </c>
      <c r="SS19" s="68">
        <f t="shared" si="8"/>
        <v>19</v>
      </c>
      <c r="ST19" s="68">
        <f t="shared" si="8"/>
        <v>19</v>
      </c>
      <c r="SU19" s="68">
        <f t="shared" si="8"/>
        <v>19</v>
      </c>
      <c r="SV19" s="68">
        <f t="shared" si="8"/>
        <v>19</v>
      </c>
      <c r="SW19" s="68">
        <f t="shared" si="8"/>
        <v>18</v>
      </c>
      <c r="SX19" s="68">
        <f t="shared" si="8"/>
        <v>18</v>
      </c>
      <c r="SY19" s="68">
        <f t="shared" ref="SY19:VJ19" si="9">SUM(SY2:SY17)</f>
        <v>18</v>
      </c>
      <c r="SZ19" s="68">
        <f t="shared" si="9"/>
        <v>18</v>
      </c>
      <c r="TA19" s="68">
        <f t="shared" si="9"/>
        <v>18</v>
      </c>
      <c r="TB19" s="68">
        <f t="shared" si="9"/>
        <v>18</v>
      </c>
      <c r="TC19" s="68">
        <f t="shared" si="9"/>
        <v>18</v>
      </c>
      <c r="TD19" s="68">
        <f t="shared" si="9"/>
        <v>18</v>
      </c>
      <c r="TE19" s="68">
        <f t="shared" si="9"/>
        <v>18</v>
      </c>
      <c r="TF19" s="68">
        <f t="shared" si="9"/>
        <v>18</v>
      </c>
      <c r="TG19" s="68">
        <f t="shared" si="9"/>
        <v>17</v>
      </c>
      <c r="TH19" s="68">
        <f t="shared" si="9"/>
        <v>17</v>
      </c>
      <c r="TI19" s="68">
        <f t="shared" si="9"/>
        <v>17</v>
      </c>
      <c r="TJ19" s="68">
        <f t="shared" si="9"/>
        <v>17</v>
      </c>
      <c r="TK19" s="68">
        <f t="shared" si="9"/>
        <v>17</v>
      </c>
      <c r="TL19" s="68">
        <f t="shared" si="9"/>
        <v>17</v>
      </c>
      <c r="TM19" s="68">
        <f t="shared" si="9"/>
        <v>17</v>
      </c>
      <c r="TN19" s="68">
        <f t="shared" si="9"/>
        <v>17</v>
      </c>
      <c r="TO19" s="68">
        <f t="shared" si="9"/>
        <v>17</v>
      </c>
      <c r="TP19" s="68">
        <f t="shared" si="9"/>
        <v>16</v>
      </c>
      <c r="TQ19" s="68">
        <f t="shared" si="9"/>
        <v>16</v>
      </c>
      <c r="TR19" s="68">
        <f t="shared" si="9"/>
        <v>16</v>
      </c>
      <c r="TS19" s="68">
        <f t="shared" si="9"/>
        <v>16</v>
      </c>
      <c r="TT19" s="68">
        <f t="shared" si="9"/>
        <v>16</v>
      </c>
      <c r="TU19" s="68">
        <f t="shared" si="9"/>
        <v>16</v>
      </c>
      <c r="TV19" s="68">
        <f t="shared" si="9"/>
        <v>16</v>
      </c>
      <c r="TW19" s="68">
        <f t="shared" si="9"/>
        <v>16</v>
      </c>
      <c r="TX19" s="68">
        <f t="shared" si="9"/>
        <v>15</v>
      </c>
      <c r="TY19" s="68">
        <f t="shared" si="9"/>
        <v>15</v>
      </c>
      <c r="TZ19" s="68">
        <f t="shared" si="9"/>
        <v>15</v>
      </c>
      <c r="UA19" s="68">
        <f t="shared" si="9"/>
        <v>15</v>
      </c>
      <c r="UB19" s="68">
        <f t="shared" si="9"/>
        <v>15</v>
      </c>
      <c r="UC19" s="68">
        <f t="shared" si="9"/>
        <v>15</v>
      </c>
      <c r="UD19" s="68">
        <f t="shared" si="9"/>
        <v>15</v>
      </c>
      <c r="UE19" s="68">
        <f t="shared" si="9"/>
        <v>14</v>
      </c>
      <c r="UF19" s="68">
        <f t="shared" si="9"/>
        <v>14</v>
      </c>
      <c r="UG19" s="68">
        <f t="shared" si="9"/>
        <v>14</v>
      </c>
      <c r="UH19" s="68">
        <f t="shared" si="9"/>
        <v>14</v>
      </c>
      <c r="UI19" s="68">
        <f t="shared" si="9"/>
        <v>14</v>
      </c>
      <c r="UJ19" s="68">
        <f t="shared" si="9"/>
        <v>14</v>
      </c>
      <c r="UK19" s="68">
        <f t="shared" si="9"/>
        <v>14</v>
      </c>
      <c r="UL19" s="68">
        <f t="shared" si="9"/>
        <v>13</v>
      </c>
      <c r="UM19" s="68">
        <f t="shared" si="9"/>
        <v>13</v>
      </c>
      <c r="UN19" s="68">
        <f t="shared" si="9"/>
        <v>13</v>
      </c>
      <c r="UO19" s="68">
        <f t="shared" si="9"/>
        <v>13</v>
      </c>
      <c r="UP19" s="68">
        <f t="shared" si="9"/>
        <v>13</v>
      </c>
      <c r="UQ19" s="68">
        <f t="shared" si="9"/>
        <v>13</v>
      </c>
      <c r="UR19" s="68">
        <f t="shared" si="9"/>
        <v>13</v>
      </c>
      <c r="US19" s="68">
        <f t="shared" si="9"/>
        <v>13</v>
      </c>
      <c r="UT19" s="68">
        <f t="shared" si="9"/>
        <v>13</v>
      </c>
      <c r="UU19" s="68">
        <f t="shared" si="9"/>
        <v>13</v>
      </c>
      <c r="UV19" s="68">
        <f t="shared" si="9"/>
        <v>13</v>
      </c>
      <c r="UW19" s="68">
        <f t="shared" si="9"/>
        <v>13</v>
      </c>
      <c r="UX19" s="68">
        <f t="shared" si="9"/>
        <v>12</v>
      </c>
      <c r="UY19" s="68">
        <f t="shared" si="9"/>
        <v>12</v>
      </c>
      <c r="UZ19" s="68">
        <f t="shared" si="9"/>
        <v>12</v>
      </c>
      <c r="VA19" s="68">
        <f t="shared" si="9"/>
        <v>12</v>
      </c>
      <c r="VB19" s="68">
        <f t="shared" si="9"/>
        <v>12</v>
      </c>
      <c r="VC19" s="68">
        <f t="shared" si="9"/>
        <v>12</v>
      </c>
      <c r="VD19" s="68">
        <f t="shared" si="9"/>
        <v>12</v>
      </c>
      <c r="VE19" s="68">
        <f t="shared" si="9"/>
        <v>11</v>
      </c>
      <c r="VF19" s="68">
        <f t="shared" si="9"/>
        <v>11</v>
      </c>
      <c r="VG19" s="68">
        <f t="shared" si="9"/>
        <v>11</v>
      </c>
      <c r="VH19" s="68">
        <f t="shared" si="9"/>
        <v>11</v>
      </c>
      <c r="VI19" s="68">
        <f t="shared" si="9"/>
        <v>11</v>
      </c>
      <c r="VJ19" s="68">
        <f t="shared" si="9"/>
        <v>11</v>
      </c>
      <c r="VK19" s="68">
        <f t="shared" ref="VK19:XV19" si="10">SUM(VK2:VK17)</f>
        <v>11</v>
      </c>
      <c r="VL19" s="68">
        <f t="shared" si="10"/>
        <v>11</v>
      </c>
      <c r="VM19" s="68">
        <f t="shared" si="10"/>
        <v>11</v>
      </c>
      <c r="VN19" s="68">
        <f t="shared" si="10"/>
        <v>10</v>
      </c>
      <c r="VO19" s="68">
        <f t="shared" si="10"/>
        <v>10</v>
      </c>
      <c r="VP19" s="68">
        <f t="shared" si="10"/>
        <v>10</v>
      </c>
      <c r="VQ19" s="68">
        <f t="shared" si="10"/>
        <v>10</v>
      </c>
      <c r="VR19" s="68">
        <f t="shared" si="10"/>
        <v>10</v>
      </c>
      <c r="VS19" s="68">
        <f t="shared" si="10"/>
        <v>10</v>
      </c>
      <c r="VT19" s="68">
        <f t="shared" si="10"/>
        <v>10</v>
      </c>
      <c r="VU19" s="68">
        <f t="shared" si="10"/>
        <v>10</v>
      </c>
      <c r="VV19" s="68">
        <f t="shared" si="10"/>
        <v>10</v>
      </c>
      <c r="VW19" s="68">
        <f t="shared" si="10"/>
        <v>10</v>
      </c>
      <c r="VX19" s="68">
        <f t="shared" si="10"/>
        <v>10</v>
      </c>
      <c r="VY19" s="68">
        <f t="shared" si="10"/>
        <v>10</v>
      </c>
      <c r="VZ19" s="68">
        <f t="shared" si="10"/>
        <v>10</v>
      </c>
      <c r="WA19" s="68">
        <f t="shared" si="10"/>
        <v>10</v>
      </c>
      <c r="WB19" s="68">
        <f t="shared" si="10"/>
        <v>10</v>
      </c>
      <c r="WC19" s="68">
        <f t="shared" si="10"/>
        <v>9</v>
      </c>
      <c r="WD19" s="68">
        <f t="shared" si="10"/>
        <v>9</v>
      </c>
      <c r="WE19" s="68">
        <f t="shared" si="10"/>
        <v>9</v>
      </c>
      <c r="WF19" s="68">
        <f t="shared" si="10"/>
        <v>9</v>
      </c>
      <c r="WG19" s="68">
        <f t="shared" si="10"/>
        <v>9</v>
      </c>
      <c r="WH19" s="68">
        <f t="shared" si="10"/>
        <v>9</v>
      </c>
      <c r="WI19" s="68">
        <f t="shared" si="10"/>
        <v>9</v>
      </c>
      <c r="WJ19" s="68">
        <f t="shared" si="10"/>
        <v>9</v>
      </c>
      <c r="WK19" s="68">
        <f t="shared" si="10"/>
        <v>9</v>
      </c>
      <c r="WL19" s="68">
        <f t="shared" si="10"/>
        <v>9</v>
      </c>
      <c r="WM19" s="68">
        <f t="shared" si="10"/>
        <v>9</v>
      </c>
      <c r="WN19" s="68">
        <f t="shared" si="10"/>
        <v>9</v>
      </c>
      <c r="WO19" s="68">
        <f t="shared" si="10"/>
        <v>9</v>
      </c>
      <c r="WP19" s="68">
        <f t="shared" si="10"/>
        <v>9</v>
      </c>
      <c r="WQ19" s="68">
        <f t="shared" si="10"/>
        <v>9</v>
      </c>
      <c r="WR19" s="68">
        <f t="shared" si="10"/>
        <v>9</v>
      </c>
      <c r="WS19" s="68">
        <f t="shared" si="10"/>
        <v>9</v>
      </c>
      <c r="WT19" s="68">
        <f t="shared" si="10"/>
        <v>9</v>
      </c>
      <c r="WU19" s="68">
        <f t="shared" si="10"/>
        <v>9</v>
      </c>
      <c r="WV19" s="68">
        <f t="shared" si="10"/>
        <v>9</v>
      </c>
      <c r="WW19" s="68">
        <f t="shared" si="10"/>
        <v>9</v>
      </c>
      <c r="WX19" s="68">
        <f t="shared" si="10"/>
        <v>8</v>
      </c>
      <c r="WY19" s="68">
        <f t="shared" si="10"/>
        <v>8</v>
      </c>
      <c r="WZ19" s="68">
        <f t="shared" si="10"/>
        <v>8</v>
      </c>
      <c r="XA19" s="68">
        <f t="shared" si="10"/>
        <v>8</v>
      </c>
      <c r="XB19" s="68">
        <f t="shared" si="10"/>
        <v>8</v>
      </c>
      <c r="XC19" s="68">
        <f t="shared" si="10"/>
        <v>8</v>
      </c>
      <c r="XD19" s="68">
        <f t="shared" si="10"/>
        <v>8</v>
      </c>
      <c r="XE19" s="68">
        <f t="shared" si="10"/>
        <v>8</v>
      </c>
      <c r="XF19" s="68">
        <f t="shared" si="10"/>
        <v>8</v>
      </c>
      <c r="XG19" s="68">
        <f t="shared" si="10"/>
        <v>8</v>
      </c>
      <c r="XH19" s="68">
        <f t="shared" si="10"/>
        <v>8</v>
      </c>
      <c r="XI19" s="68">
        <f t="shared" si="10"/>
        <v>8</v>
      </c>
      <c r="XJ19" s="68">
        <f t="shared" si="10"/>
        <v>8</v>
      </c>
      <c r="XK19" s="68">
        <f t="shared" si="10"/>
        <v>7</v>
      </c>
      <c r="XL19" s="68">
        <f t="shared" si="10"/>
        <v>7</v>
      </c>
      <c r="XM19" s="68">
        <f t="shared" si="10"/>
        <v>7</v>
      </c>
      <c r="XN19" s="68">
        <f t="shared" si="10"/>
        <v>7</v>
      </c>
      <c r="XO19" s="68">
        <f t="shared" si="10"/>
        <v>7</v>
      </c>
      <c r="XP19" s="68">
        <f t="shared" si="10"/>
        <v>7</v>
      </c>
      <c r="XQ19" s="68">
        <f t="shared" si="10"/>
        <v>7</v>
      </c>
      <c r="XR19" s="68">
        <f t="shared" si="10"/>
        <v>7</v>
      </c>
      <c r="XS19" s="68">
        <f t="shared" si="10"/>
        <v>7</v>
      </c>
      <c r="XT19" s="68">
        <f t="shared" si="10"/>
        <v>7</v>
      </c>
      <c r="XU19" s="68">
        <f t="shared" si="10"/>
        <v>7</v>
      </c>
      <c r="XV19" s="68">
        <f t="shared" si="10"/>
        <v>7</v>
      </c>
      <c r="XW19" s="68">
        <f t="shared" ref="XW19:AAH19" si="11">SUM(XW2:XW17)</f>
        <v>7</v>
      </c>
      <c r="XX19" s="68">
        <f t="shared" si="11"/>
        <v>7</v>
      </c>
      <c r="XY19" s="68">
        <f t="shared" si="11"/>
        <v>7</v>
      </c>
      <c r="XZ19" s="68">
        <f t="shared" si="11"/>
        <v>7</v>
      </c>
      <c r="YA19" s="68">
        <f t="shared" si="11"/>
        <v>7</v>
      </c>
      <c r="YB19" s="68">
        <f t="shared" si="11"/>
        <v>6</v>
      </c>
      <c r="YC19" s="68">
        <f t="shared" si="11"/>
        <v>6</v>
      </c>
      <c r="YD19" s="68">
        <f t="shared" si="11"/>
        <v>6</v>
      </c>
      <c r="YE19" s="68">
        <f t="shared" si="11"/>
        <v>6</v>
      </c>
      <c r="YF19" s="68">
        <f t="shared" si="11"/>
        <v>6</v>
      </c>
      <c r="YG19" s="68">
        <f t="shared" si="11"/>
        <v>6</v>
      </c>
      <c r="YH19" s="68">
        <f t="shared" si="11"/>
        <v>6</v>
      </c>
      <c r="YI19" s="68">
        <f t="shared" si="11"/>
        <v>6</v>
      </c>
      <c r="YJ19" s="68">
        <f t="shared" si="11"/>
        <v>6</v>
      </c>
      <c r="YK19" s="68">
        <f t="shared" si="11"/>
        <v>6</v>
      </c>
      <c r="YL19" s="68">
        <f t="shared" si="11"/>
        <v>6</v>
      </c>
      <c r="YM19" s="68">
        <f t="shared" si="11"/>
        <v>6</v>
      </c>
      <c r="YN19" s="68">
        <f t="shared" si="11"/>
        <v>6</v>
      </c>
      <c r="YO19" s="68">
        <f t="shared" si="11"/>
        <v>6</v>
      </c>
      <c r="YP19" s="68">
        <f t="shared" si="11"/>
        <v>6</v>
      </c>
      <c r="YQ19" s="68">
        <f t="shared" si="11"/>
        <v>6</v>
      </c>
      <c r="YR19" s="68">
        <f t="shared" si="11"/>
        <v>6</v>
      </c>
      <c r="YS19" s="68">
        <f t="shared" si="11"/>
        <v>6</v>
      </c>
      <c r="YT19" s="68">
        <f t="shared" si="11"/>
        <v>6</v>
      </c>
      <c r="YU19" s="68">
        <f t="shared" si="11"/>
        <v>6</v>
      </c>
      <c r="YV19" s="68">
        <f t="shared" si="11"/>
        <v>6</v>
      </c>
      <c r="YW19" s="68">
        <f t="shared" si="11"/>
        <v>6</v>
      </c>
      <c r="YX19" s="68">
        <f t="shared" si="11"/>
        <v>6</v>
      </c>
      <c r="YY19" s="68">
        <f t="shared" si="11"/>
        <v>6</v>
      </c>
      <c r="YZ19" s="68">
        <f t="shared" si="11"/>
        <v>5</v>
      </c>
      <c r="ZA19" s="68">
        <f t="shared" si="11"/>
        <v>5</v>
      </c>
      <c r="ZB19" s="68">
        <f t="shared" si="11"/>
        <v>5</v>
      </c>
      <c r="ZC19" s="68">
        <f t="shared" si="11"/>
        <v>5</v>
      </c>
      <c r="ZD19" s="68">
        <f t="shared" si="11"/>
        <v>5</v>
      </c>
      <c r="ZE19" s="68">
        <f t="shared" si="11"/>
        <v>5</v>
      </c>
      <c r="ZF19" s="68">
        <f t="shared" si="11"/>
        <v>5</v>
      </c>
      <c r="ZG19" s="68">
        <f t="shared" si="11"/>
        <v>5</v>
      </c>
      <c r="ZH19" s="68">
        <f t="shared" si="11"/>
        <v>5</v>
      </c>
      <c r="ZI19" s="68">
        <f t="shared" si="11"/>
        <v>5</v>
      </c>
      <c r="ZJ19" s="68">
        <f t="shared" si="11"/>
        <v>5</v>
      </c>
      <c r="ZK19" s="68">
        <f t="shared" si="11"/>
        <v>5</v>
      </c>
      <c r="ZL19" s="68">
        <f t="shared" si="11"/>
        <v>5</v>
      </c>
      <c r="ZM19" s="68">
        <f t="shared" si="11"/>
        <v>5</v>
      </c>
      <c r="ZN19" s="68">
        <f t="shared" si="11"/>
        <v>5</v>
      </c>
      <c r="ZO19" s="68">
        <f t="shared" si="11"/>
        <v>5</v>
      </c>
      <c r="ZP19" s="68">
        <f t="shared" si="11"/>
        <v>5</v>
      </c>
      <c r="ZQ19" s="68">
        <f t="shared" si="11"/>
        <v>4</v>
      </c>
      <c r="ZR19" s="68">
        <f t="shared" si="11"/>
        <v>4</v>
      </c>
      <c r="ZS19" s="68">
        <f t="shared" si="11"/>
        <v>4</v>
      </c>
      <c r="ZT19" s="68">
        <f t="shared" si="11"/>
        <v>4</v>
      </c>
      <c r="ZU19" s="68">
        <f t="shared" si="11"/>
        <v>4</v>
      </c>
      <c r="ZV19" s="68">
        <f t="shared" si="11"/>
        <v>4</v>
      </c>
      <c r="ZW19" s="68">
        <f t="shared" si="11"/>
        <v>4</v>
      </c>
      <c r="ZX19" s="68">
        <f t="shared" si="11"/>
        <v>4</v>
      </c>
      <c r="ZY19" s="68">
        <f t="shared" si="11"/>
        <v>4</v>
      </c>
      <c r="ZZ19" s="68">
        <f t="shared" si="11"/>
        <v>4</v>
      </c>
      <c r="AAA19" s="68">
        <f t="shared" si="11"/>
        <v>4</v>
      </c>
      <c r="AAB19" s="68">
        <f t="shared" si="11"/>
        <v>4</v>
      </c>
      <c r="AAC19" s="68">
        <f t="shared" si="11"/>
        <v>4</v>
      </c>
      <c r="AAD19" s="68">
        <f t="shared" si="11"/>
        <v>4</v>
      </c>
      <c r="AAE19" s="68">
        <f t="shared" si="11"/>
        <v>4</v>
      </c>
      <c r="AAF19" s="68">
        <f t="shared" si="11"/>
        <v>4</v>
      </c>
      <c r="AAG19" s="68">
        <f t="shared" si="11"/>
        <v>4</v>
      </c>
      <c r="AAH19" s="68">
        <f t="shared" si="11"/>
        <v>4</v>
      </c>
      <c r="AAI19" s="68">
        <f t="shared" ref="AAI19:ACC19" si="12">SUM(AAI2:AAI17)</f>
        <v>3</v>
      </c>
      <c r="AAJ19" s="68">
        <f t="shared" si="12"/>
        <v>3</v>
      </c>
      <c r="AAK19" s="68">
        <f t="shared" si="12"/>
        <v>3</v>
      </c>
      <c r="AAL19" s="68">
        <f t="shared" si="12"/>
        <v>3</v>
      </c>
      <c r="AAM19" s="68">
        <f t="shared" si="12"/>
        <v>3</v>
      </c>
      <c r="AAN19" s="68">
        <f t="shared" si="12"/>
        <v>3</v>
      </c>
      <c r="AAO19" s="68">
        <f t="shared" si="12"/>
        <v>3</v>
      </c>
      <c r="AAP19" s="68">
        <f t="shared" si="12"/>
        <v>3</v>
      </c>
      <c r="AAQ19" s="68">
        <f t="shared" si="12"/>
        <v>3</v>
      </c>
      <c r="AAR19" s="68">
        <f t="shared" si="12"/>
        <v>3</v>
      </c>
      <c r="AAS19" s="68">
        <f t="shared" si="12"/>
        <v>3</v>
      </c>
      <c r="AAT19" s="68">
        <f t="shared" si="12"/>
        <v>3</v>
      </c>
      <c r="AAU19" s="68">
        <f t="shared" si="12"/>
        <v>3</v>
      </c>
      <c r="AAV19" s="68">
        <f t="shared" si="12"/>
        <v>3</v>
      </c>
      <c r="AAW19" s="68">
        <f t="shared" si="12"/>
        <v>3</v>
      </c>
      <c r="AAX19" s="68">
        <f t="shared" si="12"/>
        <v>3</v>
      </c>
      <c r="AAY19" s="68">
        <f t="shared" si="12"/>
        <v>3</v>
      </c>
      <c r="AAZ19" s="68">
        <f t="shared" si="12"/>
        <v>3</v>
      </c>
      <c r="ABA19" s="68">
        <f t="shared" si="12"/>
        <v>3</v>
      </c>
      <c r="ABB19" s="68">
        <f t="shared" si="12"/>
        <v>3</v>
      </c>
      <c r="ABC19" s="68">
        <f t="shared" si="12"/>
        <v>3</v>
      </c>
      <c r="ABD19" s="68">
        <f t="shared" si="12"/>
        <v>3</v>
      </c>
      <c r="ABE19" s="68">
        <f t="shared" si="12"/>
        <v>3</v>
      </c>
      <c r="ABF19" s="68">
        <f t="shared" si="12"/>
        <v>3</v>
      </c>
      <c r="ABG19" s="68">
        <f t="shared" si="12"/>
        <v>2</v>
      </c>
      <c r="ABH19" s="68">
        <f t="shared" si="12"/>
        <v>2</v>
      </c>
      <c r="ABI19" s="68">
        <f t="shared" si="12"/>
        <v>2</v>
      </c>
      <c r="ABJ19" s="68">
        <f t="shared" si="12"/>
        <v>2</v>
      </c>
      <c r="ABK19" s="68">
        <f t="shared" si="12"/>
        <v>2</v>
      </c>
      <c r="ABL19" s="68">
        <f t="shared" si="12"/>
        <v>2</v>
      </c>
      <c r="ABM19" s="68">
        <f t="shared" si="12"/>
        <v>2</v>
      </c>
      <c r="ABN19" s="68">
        <f t="shared" si="12"/>
        <v>2</v>
      </c>
      <c r="ABO19" s="68">
        <f t="shared" si="12"/>
        <v>2</v>
      </c>
      <c r="ABP19" s="68">
        <f t="shared" si="12"/>
        <v>2</v>
      </c>
      <c r="ABQ19" s="68">
        <f t="shared" si="12"/>
        <v>2</v>
      </c>
      <c r="ABR19" s="68">
        <f t="shared" si="12"/>
        <v>2</v>
      </c>
      <c r="ABS19" s="68">
        <f t="shared" si="12"/>
        <v>2</v>
      </c>
      <c r="ABT19" s="68">
        <f t="shared" si="12"/>
        <v>2</v>
      </c>
      <c r="ABU19" s="68">
        <f t="shared" si="12"/>
        <v>2</v>
      </c>
      <c r="ABV19" s="68">
        <f t="shared" si="12"/>
        <v>2</v>
      </c>
      <c r="ABW19" s="68">
        <f t="shared" si="12"/>
        <v>2</v>
      </c>
      <c r="ABX19" s="68">
        <f t="shared" si="12"/>
        <v>2</v>
      </c>
      <c r="ABY19" s="68">
        <f t="shared" si="12"/>
        <v>2</v>
      </c>
      <c r="ABZ19" s="68">
        <f t="shared" si="12"/>
        <v>2</v>
      </c>
      <c r="ACA19" s="68">
        <f t="shared" si="12"/>
        <v>2</v>
      </c>
      <c r="ACB19" s="68">
        <f t="shared" si="12"/>
        <v>2</v>
      </c>
      <c r="ACC19" s="68">
        <f t="shared" si="12"/>
        <v>2</v>
      </c>
    </row>
    <row r="20" spans="1:757">
      <c r="A20" s="73" t="s">
        <v>3024</v>
      </c>
    </row>
    <row r="22" spans="1:757">
      <c r="F22" s="79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5517-F969-664C-941F-6E940B33D38D}">
  <dimension ref="A1:H15"/>
  <sheetViews>
    <sheetView zoomScale="170" zoomScaleNormal="170" workbookViewId="0">
      <pane xSplit="7" ySplit="5" topLeftCell="H6" activePane="bottomRight" state="frozen"/>
      <selection pane="topRight" activeCell="F1" sqref="F1"/>
      <selection pane="bottomLeft" activeCell="A5" sqref="A5"/>
      <selection pane="bottomRight" activeCell="F7" sqref="F7"/>
    </sheetView>
  </sheetViews>
  <sheetFormatPr baseColWidth="10" defaultRowHeight="16"/>
  <cols>
    <col min="1" max="1" width="10.5" style="1" customWidth="1"/>
    <col min="2" max="2" width="15" style="1" customWidth="1"/>
    <col min="3" max="3" width="13.33203125" style="1" customWidth="1"/>
    <col min="4" max="5" width="9.33203125" style="1" customWidth="1"/>
    <col min="6" max="6" width="18.83203125" style="1" customWidth="1"/>
    <col min="7" max="7" width="10.6640625" style="1" customWidth="1"/>
    <col min="8" max="8" width="11" style="1" customWidth="1"/>
    <col min="9" max="16384" width="10.83203125" style="1"/>
  </cols>
  <sheetData>
    <row r="1" spans="1:8">
      <c r="G1" s="13" t="s">
        <v>3020</v>
      </c>
    </row>
    <row r="2" spans="1:8">
      <c r="G2" s="13" t="s">
        <v>1102</v>
      </c>
      <c r="H2" s="1" t="s">
        <v>165</v>
      </c>
    </row>
    <row r="3" spans="1:8">
      <c r="F3" s="13"/>
      <c r="G3" s="13" t="s">
        <v>1101</v>
      </c>
      <c r="H3" s="1" t="s">
        <v>90</v>
      </c>
    </row>
    <row r="4" spans="1:8">
      <c r="A4" s="13" t="s">
        <v>3025</v>
      </c>
      <c r="F4" s="13"/>
      <c r="G4" s="13" t="s">
        <v>1100</v>
      </c>
      <c r="H4" s="8" t="s">
        <v>3019</v>
      </c>
    </row>
    <row r="5" spans="1:8" s="60" customFormat="1">
      <c r="A5" s="60" t="s">
        <v>954</v>
      </c>
      <c r="B5" s="60" t="s">
        <v>953</v>
      </c>
      <c r="C5" s="60" t="s">
        <v>952</v>
      </c>
      <c r="D5" s="60" t="s">
        <v>951</v>
      </c>
      <c r="E5" s="60" t="s">
        <v>950</v>
      </c>
      <c r="F5" s="60" t="s">
        <v>949</v>
      </c>
      <c r="G5" s="60" t="s">
        <v>948</v>
      </c>
      <c r="H5" s="11" t="s">
        <v>3018</v>
      </c>
    </row>
    <row r="6" spans="1:8">
      <c r="A6" s="1" t="s">
        <v>782</v>
      </c>
      <c r="B6" s="1" t="s">
        <v>3017</v>
      </c>
      <c r="C6" s="1" t="s">
        <v>788</v>
      </c>
      <c r="D6" s="1">
        <v>113.8490549</v>
      </c>
      <c r="E6" s="1">
        <v>22.192295999999999</v>
      </c>
      <c r="F6" s="1" t="s">
        <v>3028</v>
      </c>
      <c r="G6" s="77">
        <f t="shared" ref="G6:G13" si="0">SUM(H6:H6)</f>
        <v>1800670</v>
      </c>
      <c r="H6" s="1">
        <v>1800670</v>
      </c>
    </row>
    <row r="7" spans="1:8">
      <c r="A7" s="1" t="s">
        <v>781</v>
      </c>
      <c r="B7" s="1" t="s">
        <v>3016</v>
      </c>
      <c r="C7" s="1" t="s">
        <v>788</v>
      </c>
      <c r="D7" s="1">
        <v>113.8490549</v>
      </c>
      <c r="E7" s="1">
        <v>22.192295999999999</v>
      </c>
      <c r="F7" s="1" t="s">
        <v>3028</v>
      </c>
      <c r="G7" s="77">
        <f t="shared" si="0"/>
        <v>1447562</v>
      </c>
      <c r="H7" s="1">
        <v>1447562</v>
      </c>
    </row>
    <row r="8" spans="1:8">
      <c r="A8" s="1" t="s">
        <v>780</v>
      </c>
      <c r="B8" s="1" t="s">
        <v>3015</v>
      </c>
      <c r="C8" s="1" t="s">
        <v>785</v>
      </c>
      <c r="D8" s="1" t="s">
        <v>685</v>
      </c>
      <c r="E8" s="1" t="s">
        <v>685</v>
      </c>
      <c r="F8" s="1" t="s">
        <v>3028</v>
      </c>
      <c r="G8" s="77">
        <f t="shared" si="0"/>
        <v>0</v>
      </c>
      <c r="H8" s="1">
        <v>0</v>
      </c>
    </row>
    <row r="9" spans="1:8">
      <c r="A9" s="1" t="s">
        <v>779</v>
      </c>
      <c r="B9" s="1" t="s">
        <v>3014</v>
      </c>
      <c r="C9" s="1" t="s">
        <v>785</v>
      </c>
      <c r="D9" s="1" t="s">
        <v>685</v>
      </c>
      <c r="E9" s="1" t="s">
        <v>685</v>
      </c>
      <c r="F9" s="1" t="s">
        <v>3028</v>
      </c>
      <c r="G9" s="77">
        <f t="shared" si="0"/>
        <v>1</v>
      </c>
      <c r="H9" s="1">
        <v>1</v>
      </c>
    </row>
    <row r="10" spans="1:8">
      <c r="A10" s="1" t="s">
        <v>778</v>
      </c>
      <c r="B10" s="1" t="s">
        <v>3013</v>
      </c>
      <c r="C10" s="1" t="s">
        <v>788</v>
      </c>
      <c r="D10" s="1">
        <v>113.86252</v>
      </c>
      <c r="E10" s="1">
        <v>22.199950000000001</v>
      </c>
      <c r="F10" s="1" t="s">
        <v>3028</v>
      </c>
      <c r="G10" s="77">
        <f t="shared" si="0"/>
        <v>95126</v>
      </c>
      <c r="H10" s="1">
        <v>95126</v>
      </c>
    </row>
    <row r="11" spans="1:8">
      <c r="A11" s="1" t="s">
        <v>777</v>
      </c>
      <c r="B11" s="1" t="s">
        <v>3012</v>
      </c>
      <c r="C11" s="1" t="s">
        <v>785</v>
      </c>
      <c r="D11" s="1">
        <v>113.91858000000001</v>
      </c>
      <c r="E11" s="1">
        <v>22.205209</v>
      </c>
      <c r="F11" s="1" t="s">
        <v>3028</v>
      </c>
      <c r="G11" s="77">
        <f t="shared" si="0"/>
        <v>0</v>
      </c>
      <c r="H11" s="1">
        <v>0</v>
      </c>
    </row>
    <row r="12" spans="1:8">
      <c r="A12" s="1" t="s">
        <v>776</v>
      </c>
      <c r="B12" s="1" t="s">
        <v>3011</v>
      </c>
      <c r="C12" s="1" t="s">
        <v>785</v>
      </c>
      <c r="D12" s="1" t="s">
        <v>685</v>
      </c>
      <c r="E12" s="1" t="s">
        <v>685</v>
      </c>
      <c r="F12" s="1" t="s">
        <v>3028</v>
      </c>
      <c r="G12" s="77">
        <f t="shared" si="0"/>
        <v>1</v>
      </c>
      <c r="H12" s="1">
        <v>1</v>
      </c>
    </row>
    <row r="13" spans="1:8">
      <c r="A13" s="1" t="s">
        <v>775</v>
      </c>
      <c r="B13" s="1" t="s">
        <v>3010</v>
      </c>
      <c r="C13" s="1" t="s">
        <v>785</v>
      </c>
      <c r="D13" s="1" t="s">
        <v>685</v>
      </c>
      <c r="E13" s="1" t="s">
        <v>685</v>
      </c>
      <c r="F13" s="1" t="s">
        <v>3028</v>
      </c>
      <c r="G13" s="77">
        <f t="shared" si="0"/>
        <v>0</v>
      </c>
      <c r="H13" s="1">
        <v>0</v>
      </c>
    </row>
    <row r="15" spans="1:8" s="8" customFormat="1">
      <c r="F15" s="67" t="s">
        <v>653</v>
      </c>
      <c r="G15" s="68">
        <f>SUM(G2:G13)</f>
        <v>3343360</v>
      </c>
      <c r="H15" s="68">
        <f>SUM(H2:H13)</f>
        <v>3343360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Table 1</vt:lpstr>
      <vt:lpstr>Table 2</vt:lpstr>
      <vt:lpstr>S1 Mammal list</vt:lpstr>
      <vt:lpstr>S2 Primers</vt:lpstr>
      <vt:lpstr>S3 Queries</vt:lpstr>
      <vt:lpstr>S4 Pool list</vt:lpstr>
      <vt:lpstr>S5 Primers for Illumina</vt:lpstr>
      <vt:lpstr>S6 Seq Stat</vt:lpstr>
      <vt:lpstr>S7 Track1</vt:lpstr>
      <vt:lpstr>S8 Track2</vt:lpstr>
      <vt:lpstr>S9 Track3</vt:lpstr>
      <vt:lpstr>S10 Track4</vt:lpstr>
      <vt:lpstr>S11 Track5</vt:lpstr>
      <vt:lpstr>S12 Track6</vt:lpstr>
      <vt:lpstr>S13 Track7</vt:lpstr>
      <vt:lpstr>S14 ASV matrix1</vt:lpstr>
      <vt:lpstr>S15 ASV matrix2</vt:lpstr>
      <vt:lpstr>S16 ASV matrix3</vt:lpstr>
      <vt:lpstr>S17 ASV matrix4</vt:lpstr>
      <vt:lpstr>S18 ASV matrix5</vt:lpstr>
      <vt:lpstr>S19 ASV matrix6</vt:lpstr>
      <vt:lpstr>S20 OTU matrix nat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Masayuki USHIO</dc:creator>
  <cp:lastModifiedBy>Masayuki USHIO</cp:lastModifiedBy>
  <dcterms:created xsi:type="dcterms:W3CDTF">2024-10-25T06:36:57Z</dcterms:created>
  <dcterms:modified xsi:type="dcterms:W3CDTF">2025-03-06T12:44:10Z</dcterms:modified>
</cp:coreProperties>
</file>